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6d447cb1c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2eee448350c4977"/>
    <x:sheet xmlns:r="http://schemas.openxmlformats.org/officeDocument/2006/relationships" name="RDS Inventory" sheetId="2" r:id="R7e65eb880bd6498e"/>
    <x:sheet xmlns:r="http://schemas.openxmlformats.org/officeDocument/2006/relationships" name="Optimization Candidates" sheetId="3" r:id="Rf5c5f78ced1c4861"/>
    <x:sheet xmlns:r="http://schemas.openxmlformats.org/officeDocument/2006/relationships" name="DBA Validation" sheetId="4" r:id="R7f44017f21e34e7d"/>
    <x:sheet xmlns:r="http://schemas.openxmlformats.org/officeDocument/2006/relationships" name="RI Coverage" sheetId="5" r:id="R53a210c3862b442d"/>
    <x:sheet xmlns:r="http://schemas.openxmlformats.org/officeDocument/2006/relationships" name="Snapshots &amp; Backups" sheetId="6" r:id="Rd54613eb8bb74876"/>
    <x:sheet xmlns:r="http://schemas.openxmlformats.org/officeDocument/2006/relationships" name="Action Items" sheetId="7" r:id="R020feb1cba91473c"/>
    <x:sheet xmlns:r="http://schemas.openxmlformats.org/officeDocument/2006/relationships" name="Dropdowns" sheetId="8" r:id="Rd4a05c515bbf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#,##0"/>
    <x:numFmt numFmtId="202" formatCode="0%"/>
    <x:numFmt numFmtId="203" formatCode="yyyy-mm-dd"/>
    <x:numFmt numFmtId="204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243E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c5136773a4322" /><Relationship Type="http://schemas.openxmlformats.org/officeDocument/2006/relationships/theme" Target="/xl/theme/theme1.xml" Id="R6bb80cc24b2347ae" /><Relationship Type="http://schemas.openxmlformats.org/officeDocument/2006/relationships/sharedStrings" Target="/xl/sharedStrings.xml" Id="R283d8b0e2cfe4595" /><Relationship Type="http://schemas.openxmlformats.org/officeDocument/2006/relationships/worksheet" Target="/xl/worksheets/sheet1.xml" Id="Rd2eee448350c4977" /><Relationship Type="http://schemas.openxmlformats.org/officeDocument/2006/relationships/worksheet" Target="/xl/worksheets/sheet2.xml" Id="R7e65eb880bd6498e" /><Relationship Type="http://schemas.openxmlformats.org/officeDocument/2006/relationships/worksheet" Target="/xl/worksheets/sheet3.xml" Id="Rf5c5f78ced1c4861" /><Relationship Type="http://schemas.openxmlformats.org/officeDocument/2006/relationships/worksheet" Target="/xl/worksheets/sheet4.xml" Id="R7f44017f21e34e7d" /><Relationship Type="http://schemas.openxmlformats.org/officeDocument/2006/relationships/worksheet" Target="/xl/worksheets/sheet5.xml" Id="R53a210c3862b442d" /><Relationship Type="http://schemas.openxmlformats.org/officeDocument/2006/relationships/worksheet" Target="/xl/worksheets/sheet6.xml" Id="Rd54613eb8bb74876" /><Relationship Type="http://schemas.openxmlformats.org/officeDocument/2006/relationships/worksheet" Target="/xl/worksheets/sheet7.xml" Id="R020feb1cba91473c" /><Relationship Type="http://schemas.openxmlformats.org/officeDocument/2006/relationships/worksheet" Target="/xl/worksheets/sheet8.xml" Id="Rd4a05c515bbf49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9b6f1d9e914f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Estimated Monthly Savings by Focus Area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Monthly Savings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9b6f1d9e914f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DSInventoryTable" displayName="RDSInventoryTable" ref="A3:W200" headerRowCount="1">
  <x:tableColumns count="23">
    <x:tableColumn id="1" name="Account ID"/>
    <x:tableColumn id="2" name="Account Name"/>
    <x:tableColumn id="3" name="Region"/>
    <x:tableColumn id="4" name="DB Identifier"/>
    <x:tableColumn id="5" name="Engine"/>
    <x:tableColumn id="6" name="Environment"/>
    <x:tableColumn id="7" name="App/Service"/>
    <x:tableColumn id="8" name="Owner"/>
    <x:tableColumn id="9" name="Cost Center"/>
    <x:tableColumn id="10" name="Instance Class"/>
    <x:tableColumn id="11" name="Multi-AZ?"/>
    <x:tableColumn id="12" name="Read Replicas Count"/>
    <x:tableColumn id="13" name="Allocated Storage GB"/>
    <x:tableColumn id="14" name="Actual Used Storage GB"/>
    <x:tableColumn id="15" name="Monthly DB Instance Cost"/>
    <x:tableColumn id="16" name="Monthly Storage Cost"/>
    <x:tableColumn id="17" name="Monthly Backup/Snapshot Cost"/>
    <x:tableColumn id="18" name="Monthly Data Transfer Cost"/>
    <x:tableColumn id="19" name="Total Monthly Cost"/>
    <x:tableColumn id="20" name="CPU Avg %"/>
    <x:tableColumn id="21" name="Memory Free Avg GB"/>
    <x:tableColumn id="22" name="IOPS Avg"/>
    <x:tableColumn id="23" name="Connections Avg"/>
  </x:tableColumns>
  <x:tableStyleInfo name="TableStyleMedium2" showRowStripes="1"/>
</x:table>
</file>

<file path=xl/tables/table2.xml><?xml version="1.0" encoding="utf-8"?>
<x:table xmlns:x="http://schemas.openxmlformats.org/spreadsheetml/2006/main" id="2" name="OptimizationCandidatesTable" displayName="OptimizationCandidatesTable" ref="A3:U200" headerRowCount="1">
  <x:tableColumns count="21">
    <x:tableColumn id="1" name="Candidate ID"/>
    <x:tableColumn id="2" name="DB Identifier"/>
    <x:tableColumn id="3" name="Optimization Type"/>
    <x:tableColumn id="4" name="Current Configuration"/>
    <x:tableColumn id="5" name="Proposed Configuration"/>
    <x:tableColumn id="6" name="Monthly Current Cost"/>
    <x:tableColumn id="7" name="Estimated Monthly Savings"/>
    <x:tableColumn id="8" name="Annualized Savings"/>
    <x:tableColumn id="9" name="Risk"/>
    <x:tableColumn id="10" name="Cloud Evidence Needed"/>
    <x:tableColumn id="11" name="DBA Validation Needed"/>
    <x:tableColumn id="12" name="App Team Dependency"/>
    <x:tableColumn id="13" name="Decision"/>
    <x:tableColumn id="14" name="Owner"/>
    <x:tableColumn id="15" name="Status"/>
    <x:tableColumn id="16" name="Target Date"/>
    <x:tableColumn id="17" name="Implementation Window"/>
    <x:tableColumn id="18" name="Rollback Plan"/>
    <x:tableColumn id="19" name="Post-Change Validation"/>
    <x:tableColumn id="20" name="Notes"/>
    <x:tableColumn id="21" name="Last Updated"/>
  </x:tableColumns>
  <x:tableStyleInfo name="TableStyleMedium2" showRowStripes="1"/>
</x:table>
</file>

<file path=xl/tables/table3.xml><?xml version="1.0" encoding="utf-8"?>
<x:table xmlns:x="http://schemas.openxmlformats.org/spreadsheetml/2006/main" id="3" name="DBAValidationTable" displayName="DBAValidationTable" ref="A3:R200" headerRowCount="1">
  <x:tableColumns count="18">
    <x:tableColumn id="1" name="DB Identifier"/>
    <x:tableColumn id="2" name="Environment"/>
    <x:tableColumn id="3" name="Business Critical?"/>
    <x:tableColumn id="4" name="Workload Pattern"/>
    <x:tableColumn id="5" name="CPU/Memory OK to Resize?"/>
    <x:tableColumn id="6" name="IOPS/Latency OK?"/>
    <x:tableColumn id="7" name="Replica Required?"/>
    <x:tableColumn id="8" name="Multi-AZ Required?"/>
    <x:tableColumn id="9" name="Backup Retention Required"/>
    <x:tableColumn id="10" name="Snapshot Retention Required"/>
    <x:tableColumn id="11" name="Compliance Constraint?"/>
    <x:tableColumn id="12" name="DBA Recommendation"/>
    <x:tableColumn id="13" name="DBA Decision"/>
    <x:tableColumn id="14" name="DBA Owner"/>
    <x:tableColumn id="15" name="App Owner"/>
    <x:tableColumn id="16" name="Testing Required"/>
    <x:tableColumn id="17" name="Approval Date"/>
    <x:tableColumn id="18" name="Comments"/>
  </x:tableColumns>
  <x:tableStyleInfo name="TableStyleMedium2" showRowStripes="1"/>
</x:table>
</file>

<file path=xl/tables/table4.xml><?xml version="1.0" encoding="utf-8"?>
<x:table xmlns:x="http://schemas.openxmlformats.org/spreadsheetml/2006/main" id="4" name="RICoverageTable" displayName="RICoverageTable" ref="A3:Q200" headerRowCount="1">
  <x:tableColumns count="17">
    <x:tableColumn id="1" name="DB Identifier"/>
    <x:tableColumn id="2" name="Engine"/>
    <x:tableColumn id="3" name="Region"/>
    <x:tableColumn id="4" name="Instance Class"/>
    <x:tableColumn id="5" name="Environment"/>
    <x:tableColumn id="6" name="Current Purchase Option"/>
    <x:tableColumn id="7" name="Monthly On-Demand Cost"/>
    <x:tableColumn id="8" name="Current RI Coverage %"/>
    <x:tableColumn id="9" name="RI Utilization %"/>
    <x:tableColumn id="10" name="Candidate for RI?"/>
    <x:tableColumn id="11" name="Recommended Term"/>
    <x:tableColumn id="12" name="Estimated Monthly Savings"/>
    <x:tableColumn id="13" name="Annualized Savings"/>
    <x:tableColumn id="14" name="DBA Confirms Stable 12 Months?"/>
    <x:tableColumn id="15" name="Migration/Resize Planned?"/>
    <x:tableColumn id="16" name="Decision"/>
    <x:tableColumn id="1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napshotsBackupsTable" displayName="SnapshotsBackupsTable" ref="A3:Q200" headerRowCount="1">
  <x:tableColumns count="17">
    <x:tableColumn id="1" name="DB Identifier"/>
    <x:tableColumn id="2" name="Snapshot/Backup Type"/>
    <x:tableColumn id="3" name="Region"/>
    <x:tableColumn id="4" name="Created Date"/>
    <x:tableColumn id="5" name="Size GB"/>
    <x:tableColumn id="6" name="Monthly Cost"/>
    <x:tableColumn id="7" name="Environment"/>
    <x:tableColumn id="8" name="Owner"/>
    <x:tableColumn id="9" name="Required Retention"/>
    <x:tableColumn id="10" name="Current Retention"/>
    <x:tableColumn id="11" name="Cross-Region Copy?"/>
    <x:tableColumn id="12" name="Compliance Required?"/>
    <x:tableColumn id="13" name="Deletion Candidate?"/>
    <x:tableColumn id="14" name="DBA Decision"/>
    <x:tableColumn id="15" name="Target Cleanup Date"/>
    <x:tableColumn id="16" name="Expected Monthly Savings"/>
    <x:tableColumn id="1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ActionItemsTable" displayName="ActionItemsTable" ref="A3:M200" headerRowCount="1">
  <x:tableColumns count="13">
    <x:tableColumn id="1" name="Action ID"/>
    <x:tableColumn id="2" name="Action Item"/>
    <x:tableColumn id="3" name="Owner Team"/>
    <x:tableColumn id="4" name="Support Team"/>
    <x:tableColumn id="5" name="Priority"/>
    <x:tableColumn id="6" name="Risk"/>
    <x:tableColumn id="7" name="Status"/>
    <x:tableColumn id="8" name="Target Date"/>
    <x:tableColumn id="9" name="Expected Monthly Savings"/>
    <x:tableColumn id="10" name="Dependencies"/>
    <x:tableColumn id="11" name="Next Step"/>
    <x:tableColumn id="12" name="Completion Date"/>
    <x:tableColumn id="13" name="Com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394e45a51944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f4ad8c00b245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032ecdfeae4f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b7b8d46b90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7ac93fd68c44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09dbcd2cee4e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59bff94fcb461a" /></Relationships>
</file>

<file path=xl/worksheets/sheet1.xml><?xml version="1.0" encoding="utf-8"?>
<x:worksheet xmlns:x="http://schemas.openxmlformats.org/spreadsheetml/2006/main">
  <x:sheetFormatPr defaultRowHeight="15"/>
  <x:cols>
    <x:col min="1" max="1" width="40.2400016784668" hidden="0" customWidth="1"/>
    <x:col min="2" max="2" width="6.460000038146973" hidden="0" customWidth="1"/>
    <x:col min="3" max="3" width="22" hidden="0" customWidth="1"/>
    <x:col min="4" max="4" width="16.690000534057617" hidden="0" customWidth="1"/>
    <x:col min="5" max="5" width="13.460000038146973" hidden="0" customWidth="1"/>
    <x:col min="6" max="6" width="9.829999923706055" hidden="0" customWidth="1"/>
    <x:col min="7" max="7" width="22" hidden="0" customWidth="1"/>
    <x:col min="8" max="8" width="15.210000038146973" hidden="0" customWidth="1"/>
    <x:col min="9" max="9" width="21.940000534057617" hidden="0" customWidth="1"/>
    <x:col min="10" max="10" width="19.649999618530273" hidden="0" customWidth="1"/>
    <x:col min="11" max="11" width="23.549999237060547" hidden="0" customWidth="1"/>
    <x:col min="12" max="12" width="22" hidden="0" customWidth="1"/>
  </x:cols>
  <x:sheetData>
    <x:row r="1" ht="28" customHeight="1">
      <x:c r="A1" s="44" t="str">
        <x:v>RDS Cost Optimization Dashboard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</x:row>
    <x:row r="3" ht="32" customHeight="1">
      <x:c r="A3" s="6" t="str">
        <x:v>Metric</x:v>
      </x:c>
      <x:c r="B3" s="6" t="str">
        <x:v>Value</x:v>
      </x:c>
      <x:c r="D3" s="6" t="str">
        <x:v>Focus Area</x:v>
      </x:c>
      <x:c r="E3" s="6" t="str">
        <x:v>Monthly Savings</x:v>
      </x:c>
      <x:c r="F3" s="6" t="str">
        <x:v>Owner</x:v>
      </x:c>
      <x:c r="H3" s="6" t="str">
        <x:v>Meeting Use</x:v>
      </x:c>
      <x:c r="I3" s="6" t="str">
        <x:v>Cloud Team Input</x:v>
      </x:c>
      <x:c r="J3" s="6" t="str">
        <x:v>DBA/RDS Team Input</x:v>
      </x:c>
      <x:c r="K3" s="6" t="str">
        <x:v>Output</x:v>
      </x:c>
    </x:row>
    <x:row r="4">
      <x:c r="A4" s="32" t="str">
        <x:v>Total Monthly RDS Cost</x:v>
      </x:c>
      <x:c r="B4" s="20" t="n">
        <x:f>SUM('RDS Inventory'!S4:S200)</x:f>
        <x:v>4387</x:v>
      </x:c>
      <x:c r="D4" t="str">
        <x:v>RI Coverage</x:v>
      </x:c>
      <x:c r="E4" s="20" t="n">
        <x:f>SUMIF('Optimization Candidates'!C:C,D4,'Optimization Candidates'!G:G)</x:f>
        <x:v>450</x:v>
      </x:c>
      <x:c r="F4" t="str">
        <x:v>Cloud</x:v>
      </x:c>
      <x:c r="H4" s="40" t="str">
        <x:v>Cost drivers</x:v>
      </x:c>
      <x:c r="I4" s="40" t="str">
        <x:v>Billing + Cost Explorer data</x:v>
      </x:c>
      <x:c r="J4" s="40" t="str">
        <x:v>Technical reason for cost</x:v>
      </x:c>
      <x:c r="K4" s="40" t="str">
        <x:v>Validated top opportunities</x:v>
      </x:c>
    </x:row>
    <x:row r="5">
      <x:c r="A5" s="32" t="str">
        <x:v>Estimated Monthly Savings</x:v>
      </x:c>
      <x:c r="B5" s="20" t="n">
        <x:f>SUM('Optimization Candidates'!G4:G200)</x:f>
        <x:v>1000</x:v>
      </x:c>
      <x:c r="D5" t="str">
        <x:v>Non-prod scheduling</x:v>
      </x:c>
      <x:c r="E5" s="20" t="n">
        <x:f>SUMIF('Optimization Candidates'!C:C,D5,'Optimization Candidates'!G:G)</x:f>
        <x:v>250</x:v>
      </x:c>
      <x:c r="F5" t="str">
        <x:v>Cloud + DBA</x:v>
      </x:c>
      <x:c r="H5" s="40" t="str">
        <x:v>Right-sizing</x:v>
      </x:c>
      <x:c r="I5" s="40" t="str">
        <x:v>CloudWatch metrics</x:v>
      </x:c>
      <x:c r="J5" s="40" t="str">
        <x:v>Performance approval</x:v>
      </x:c>
      <x:c r="K5" s="40" t="str">
        <x:v>Approved resize list</x:v>
      </x:c>
    </x:row>
    <x:row r="6">
      <x:c r="A6" s="32" t="str">
        <x:v>Estimated Annual Savings</x:v>
      </x:c>
      <x:c r="B6" s="20" t="n">
        <x:f>SUM('Optimization Candidates'!H4:H200)</x:f>
        <x:v>12000</x:v>
      </x:c>
      <x:c r="D6" t="str">
        <x:v>Replica review</x:v>
      </x:c>
      <x:c r="E6" s="20" t="n">
        <x:f>SUMIF('Optimization Candidates'!C:C,D6,'Optimization Candidates'!G:G)</x:f>
        <x:v>300</x:v>
      </x:c>
      <x:c r="F6" t="str">
        <x:v>DBA</x:v>
      </x:c>
      <x:c r="H6" s="40" t="str">
        <x:v>Replicas/Multi-AZ</x:v>
      </x:c>
      <x:c r="I6" s="40" t="str">
        <x:v>Cost and utilization data</x:v>
      </x:c>
      <x:c r="J6" s="40" t="str">
        <x:v>HA/DR requirement</x:v>
      </x:c>
      <x:c r="K6" s="40" t="str">
        <x:v>Remove/downsize decision</x:v>
      </x:c>
    </x:row>
    <x:row r="7">
      <x:c r="A7" s="32" t="str">
        <x:v>Open Action Items</x:v>
      </x:c>
      <x:c r="B7" s="38" t="n">
        <x:f>COUNTIF('Action Items'!G4:G200,"&lt;&gt;Completed")-COUNTBLANK('Action Items'!G4:G200)</x:f>
        <x:v>7</x:v>
      </x:c>
      <x:c r="D7" t="str">
        <x:v>Snapshot cleanup</x:v>
      </x:c>
      <x:c r="E7" s="20" t="n">
        <x:f>SUM('Snapshots &amp; Backups'!P4:P200)</x:f>
        <x:v>123</x:v>
      </x:c>
      <x:c r="F7" t="str">
        <x:v>DBA</x:v>
      </x:c>
      <x:c r="H7" s="40" t="str">
        <x:v>Backups/snapshots</x:v>
      </x:c>
      <x:c r="I7" s="40" t="str">
        <x:v>Storage cost and age report</x:v>
      </x:c>
      <x:c r="J7" s="40" t="str">
        <x:v>Retention approval</x:v>
      </x:c>
      <x:c r="K7" s="40" t="str">
        <x:v>Cleanup list</x:v>
      </x:c>
    </x:row>
    <x:row r="8">
      <x:c r="A8" s="32" t="str">
        <x:v>Blocked Action Items</x:v>
      </x:c>
      <x:c r="B8" s="38" t="n">
        <x:f>COUNTIF('Action Items'!G4:G200,"Blocked")</x:f>
        <x:v>0</x:v>
      </x:c>
      <x:c r="D8" t="str">
        <x:v>Right-sizing</x:v>
      </x:c>
      <x:c r="E8" s="20" t="n">
        <x:f>SUMIF('Optimization Candidates'!C:C,D8,'Optimization Candidates'!G:G)</x:f>
        <x:v>0</x:v>
      </x:c>
      <x:c r="F8" t="str">
        <x:v>DBA + Cloud</x:v>
      </x:c>
      <x:c r="H8" s="40" t="str">
        <x:v>RI planning</x:v>
      </x:c>
      <x:c r="I8" s="40" t="str">
        <x:v>Coverage/utilization report</x:v>
      </x:c>
      <x:c r="J8" s="40" t="str">
        <x:v>Stability confirmation</x:v>
      </x:c>
      <x:c r="K8" s="40" t="str">
        <x:v>RI purchase recommendation</x:v>
      </x:c>
    </x:row>
    <x:row r="9">
      <x:c r="H9" s="40" t="str">
        <x:v>Non-prod schedule</x:v>
      </x:c>
      <x:c r="I9" s="40" t="str">
        <x:v>Automation/tags</x:v>
      </x:c>
      <x:c r="J9" s="40" t="str">
        <x:v>Allowed stop window</x:v>
      </x:c>
      <x:c r="K9" s="40" t="str">
        <x:v>Schedule implementation</x:v>
      </x:c>
    </x:row>
    <x:row r="10">
      <x:c r="H10" s="40" t="str">
        <x:v>Governance</x:v>
      </x:c>
      <x:c r="I10" s="40" t="str">
        <x:v>Policy/dashboard</x:v>
      </x:c>
      <x:c r="J10" s="40" t="str">
        <x:v>DB standards</x:v>
      </x:c>
      <x:c r="K10" s="40" t="str">
        <x:v>Ongoing review process</x:v>
      </x:c>
    </x:row>
    <x:row r="11">
      <x:c r="H11" s="40" t="str">
        <x:v>Actions</x:v>
      </x:c>
      <x:c r="I11" s="40" t="str">
        <x:v>Tracker</x:v>
      </x:c>
      <x:c r="J11" s="40" t="str">
        <x:v>Owners and dates</x:v>
      </x:c>
      <x:c r="K11" s="40" t="str">
        <x:v>Execution plan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fa394e45a519441e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44" t="str">
        <x:v>RDS Inventory and Cost Baseline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</x:row>
    <x:row r="3" ht="32" customHeight="1">
      <x:c r="A3" s="6" t="str">
        <x:v>Account ID</x:v>
      </x:c>
      <x:c r="B3" s="6" t="str">
        <x:v>Account Name</x:v>
      </x:c>
      <x:c r="C3" s="6" t="str">
        <x:v>Region</x:v>
      </x:c>
      <x:c r="D3" s="6" t="str">
        <x:v>DB Identifier</x:v>
      </x:c>
      <x:c r="E3" s="6" t="str">
        <x:v>Engine</x:v>
      </x:c>
      <x:c r="F3" s="6" t="str">
        <x:v>Environment</x:v>
      </x:c>
      <x:c r="G3" s="6" t="str">
        <x:v>App/Service</x:v>
      </x:c>
      <x:c r="H3" s="6" t="str">
        <x:v>Owner</x:v>
      </x:c>
      <x:c r="I3" s="6" t="str">
        <x:v>Cost Center</x:v>
      </x:c>
      <x:c r="J3" s="6" t="str">
        <x:v>Instance Class</x:v>
      </x:c>
      <x:c r="K3" s="6" t="str">
        <x:v>Multi-AZ?</x:v>
      </x:c>
      <x:c r="L3" s="6" t="str">
        <x:v>Read Replicas Count</x:v>
      </x:c>
      <x:c r="M3" s="6" t="str">
        <x:v>Allocated Storage GB</x:v>
      </x:c>
      <x:c r="N3" s="6" t="str">
        <x:v>Actual Used Storage GB</x:v>
      </x:c>
      <x:c r="O3" s="6" t="str">
        <x:v>Monthly DB Instance Cost</x:v>
      </x:c>
      <x:c r="P3" s="6" t="str">
        <x:v>Monthly Storage Cost</x:v>
      </x:c>
      <x:c r="Q3" s="6" t="str">
        <x:v>Monthly Backup/Snapshot Cost</x:v>
      </x:c>
      <x:c r="R3" s="6" t="str">
        <x:v>Monthly Data Transfer Cost</x:v>
      </x:c>
      <x:c r="S3" s="6" t="str">
        <x:v>Total Monthly Cost</x:v>
      </x:c>
      <x:c r="T3" s="6" t="str">
        <x:v>CPU Avg %</x:v>
      </x:c>
      <x:c r="U3" s="6" t="str">
        <x:v>Memory Free Avg GB</x:v>
      </x:c>
      <x:c r="V3" s="6" t="str">
        <x:v>IOPS Avg</x:v>
      </x:c>
      <x:c r="W3" s="6" t="str">
        <x:v>Connections Avg</x:v>
      </x:c>
    </x:row>
    <x:row r="4">
      <x:c r="A4" t="str">
        <x:v>123456789012</x:v>
      </x:c>
      <x:c r="B4" t="str">
        <x:v>Shared Services</x:v>
      </x:c>
      <x:c r="C4" t="str">
        <x:v>us-east-1</x:v>
      </x:c>
      <x:c r="D4" t="str">
        <x:v>prod-orders-db</x:v>
      </x:c>
      <x:c r="E4" t="str">
        <x:v>PostgreSQL</x:v>
      </x:c>
      <x:c r="F4" t="str">
        <x:v>Prod</x:v>
      </x:c>
      <x:c r="G4" t="str">
        <x:v>Orders API</x:v>
      </x:c>
      <x:c r="H4" t="str">
        <x:v>DBA Team</x:v>
      </x:c>
      <x:c r="I4" t="str">
        <x:v>CC1001</x:v>
      </x:c>
      <x:c r="J4" t="str">
        <x:v>db.m8g.xlarge</x:v>
      </x:c>
      <x:c r="K4" t="str">
        <x:v>Yes</x:v>
      </x:c>
      <x:c r="L4" t="n">
        <x:v>2</x:v>
      </x:c>
      <x:c r="M4" s="22" t="n">
        <x:v>2200</x:v>
      </x:c>
      <x:c r="N4" s="22" t="n">
        <x:v>1450</x:v>
      </x:c>
      <x:c r="O4" s="20" t="n">
        <x:v>1800</x:v>
      </x:c>
      <x:c r="P4" s="20" t="n">
        <x:v>260</x:v>
      </x:c>
      <x:c r="Q4" s="20" t="n">
        <x:v>420</x:v>
      </x:c>
      <x:c r="R4" s="20" t="n">
        <x:v>55</x:v>
      </x:c>
      <x:c r="S4" s="20" t="n">
        <x:f>SUM(O4:R4)</x:f>
        <x:v>2535</x:v>
      </x:c>
      <x:c r="T4" s="24" t="n">
        <x:v>18</x:v>
      </x:c>
      <x:c r="U4" s="22" t="n">
        <x:v>22</x:v>
      </x:c>
      <x:c r="V4" s="22" t="n">
        <x:v>650</x:v>
      </x:c>
      <x:c r="W4" s="22" t="n">
        <x:v>125</x:v>
      </x:c>
    </x:row>
    <x:row r="5">
      <x:c r="A5" t="str">
        <x:v>123456789013</x:v>
      </x:c>
      <x:c r="B5" t="str">
        <x:v>App Account A</x:v>
      </x:c>
      <x:c r="C5" t="str">
        <x:v>us-east-1</x:v>
      </x:c>
      <x:c r="D5" t="str">
        <x:v>qa-reporting-db</x:v>
      </x:c>
      <x:c r="E5" t="str">
        <x:v>PostgreSQL</x:v>
      </x:c>
      <x:c r="F5" t="str">
        <x:v>QA</x:v>
      </x:c>
      <x:c r="G5" t="str">
        <x:v>Reporting</x:v>
      </x:c>
      <x:c r="H5" t="str">
        <x:v>App/DBA</x:v>
      </x:c>
      <x:c r="I5" t="str">
        <x:v>CC2001</x:v>
      </x:c>
      <x:c r="J5" t="str">
        <x:v>db.r8g.large</x:v>
      </x:c>
      <x:c r="K5" t="str">
        <x:v>No</x:v>
      </x:c>
      <x:c r="L5" t="n">
        <x:v>0</x:v>
      </x:c>
      <x:c r="M5" s="22" t="n">
        <x:v>500</x:v>
      </x:c>
      <x:c r="N5" s="22" t="n">
        <x:v>120</x:v>
      </x:c>
      <x:c r="O5" s="20" t="n">
        <x:v>420</x:v>
      </x:c>
      <x:c r="P5" s="20" t="n">
        <x:v>60</x:v>
      </x:c>
      <x:c r="Q5" s="20" t="n">
        <x:v>180</x:v>
      </x:c>
      <x:c r="R5" s="20" t="n">
        <x:v>12</x:v>
      </x:c>
      <x:c r="S5" s="20" t="n">
        <x:f>SUM(O5:R5)</x:f>
        <x:v>672</x:v>
      </x:c>
      <x:c r="T5" s="24" t="n">
        <x:v>7</x:v>
      </x:c>
      <x:c r="U5" s="22" t="n">
        <x:v>14</x:v>
      </x:c>
      <x:c r="V5" s="22" t="n">
        <x:v>80</x:v>
      </x:c>
      <x:c r="W5" s="22" t="n">
        <x:v>20</x:v>
      </x:c>
    </x:row>
    <x:row r="6">
      <x:c r="A6" t="str">
        <x:v>123456789014</x:v>
      </x:c>
      <x:c r="B6" t="str">
        <x:v>App Account B</x:v>
      </x:c>
      <x:c r="C6" t="str">
        <x:v>us-east-1</x:v>
      </x:c>
      <x:c r="D6" t="str">
        <x:v>stage-customer-db</x:v>
      </x:c>
      <x:c r="E6" t="str">
        <x:v>MySQL</x:v>
      </x:c>
      <x:c r="F6" t="str">
        <x:v>Stage</x:v>
      </x:c>
      <x:c r="G6" t="str">
        <x:v>Customer Portal</x:v>
      </x:c>
      <x:c r="H6" t="str">
        <x:v>DBA Team</x:v>
      </x:c>
      <x:c r="I6" t="str">
        <x:v>CC3001</x:v>
      </x:c>
      <x:c r="J6" t="str">
        <x:v>db.m7g.xlarge</x:v>
      </x:c>
      <x:c r="K6" t="str">
        <x:v>Yes</x:v>
      </x:c>
      <x:c r="L6" t="n">
        <x:v>1</x:v>
      </x:c>
      <x:c r="M6" s="22" t="n">
        <x:v>1000</x:v>
      </x:c>
      <x:c r="N6" s="22" t="n">
        <x:v>380</x:v>
      </x:c>
      <x:c r="O6" s="20" t="n">
        <x:v>950</x:v>
      </x:c>
      <x:c r="P6" s="20" t="n">
        <x:v>120</x:v>
      </x:c>
      <x:c r="Q6" s="20" t="n">
        <x:v>90</x:v>
      </x:c>
      <x:c r="R6" s="20" t="n">
        <x:v>20</x:v>
      </x:c>
      <x:c r="S6" s="20" t="n">
        <x:f>SUM(O6:R6)</x:f>
        <x:v>1180</x:v>
      </x:c>
      <x:c r="T6" s="24" t="n">
        <x:v>12</x:v>
      </x:c>
      <x:c r="U6" s="22" t="n">
        <x:v>18</x:v>
      </x:c>
      <x:c r="V6" s="22" t="n">
        <x:v>220</x:v>
      </x:c>
      <x:c r="W6" s="22" t="n">
        <x:v>50</x:v>
      </x:c>
    </x:row>
    <x:row r="7">
      <x:c r="M7" s="22"/>
      <x:c r="N7" s="22"/>
      <x:c r="O7" s="20"/>
      <x:c r="P7" s="20"/>
      <x:c r="Q7" s="20"/>
      <x:c r="R7" s="20"/>
      <x:c r="S7" s="20"/>
      <x:c r="T7" s="24"/>
      <x:c r="U7" s="22"/>
      <x:c r="V7" s="22"/>
      <x:c r="W7" s="22"/>
    </x:row>
    <x:row r="8">
      <x:c r="M8" s="22"/>
      <x:c r="N8" s="22"/>
      <x:c r="O8" s="20"/>
      <x:c r="P8" s="20"/>
      <x:c r="Q8" s="20"/>
      <x:c r="R8" s="20"/>
      <x:c r="S8" s="20"/>
      <x:c r="T8" s="24"/>
      <x:c r="U8" s="22"/>
      <x:c r="V8" s="22"/>
      <x:c r="W8" s="22"/>
    </x:row>
    <x:row r="9">
      <x:c r="M9" s="22"/>
      <x:c r="N9" s="22"/>
      <x:c r="O9" s="20"/>
      <x:c r="P9" s="20"/>
      <x:c r="Q9" s="20"/>
      <x:c r="R9" s="20"/>
      <x:c r="S9" s="20"/>
      <x:c r="T9" s="24"/>
      <x:c r="U9" s="22"/>
      <x:c r="V9" s="22"/>
      <x:c r="W9" s="22"/>
    </x:row>
    <x:row r="10">
      <x:c r="M10" s="22"/>
      <x:c r="N10" s="22"/>
      <x:c r="O10" s="20"/>
      <x:c r="P10" s="20"/>
      <x:c r="Q10" s="20"/>
      <x:c r="R10" s="20"/>
      <x:c r="S10" s="20"/>
      <x:c r="T10" s="24"/>
      <x:c r="U10" s="22"/>
      <x:c r="V10" s="22"/>
      <x:c r="W10" s="22"/>
    </x:row>
    <x:row r="11">
      <x:c r="M11" s="22"/>
      <x:c r="N11" s="22"/>
      <x:c r="O11" s="20"/>
      <x:c r="P11" s="20"/>
      <x:c r="Q11" s="20"/>
      <x:c r="R11" s="20"/>
      <x:c r="S11" s="20"/>
      <x:c r="T11" s="24"/>
      <x:c r="U11" s="22"/>
      <x:c r="V11" s="22"/>
      <x:c r="W11" s="22"/>
    </x:row>
    <x:row r="12">
      <x:c r="M12" s="22"/>
      <x:c r="N12" s="22"/>
      <x:c r="O12" s="20"/>
      <x:c r="P12" s="20"/>
      <x:c r="Q12" s="20"/>
      <x:c r="R12" s="20"/>
      <x:c r="S12" s="20"/>
      <x:c r="T12" s="24"/>
      <x:c r="U12" s="22"/>
      <x:c r="V12" s="22"/>
      <x:c r="W12" s="22"/>
    </x:row>
    <x:row r="13">
      <x:c r="M13" s="22"/>
      <x:c r="N13" s="22"/>
      <x:c r="O13" s="20"/>
      <x:c r="P13" s="20"/>
      <x:c r="Q13" s="20"/>
      <x:c r="R13" s="20"/>
      <x:c r="S13" s="20"/>
      <x:c r="T13" s="24"/>
      <x:c r="U13" s="22"/>
      <x:c r="V13" s="22"/>
      <x:c r="W13" s="22"/>
    </x:row>
    <x:row r="14">
      <x:c r="M14" s="22"/>
      <x:c r="N14" s="22"/>
      <x:c r="O14" s="20"/>
      <x:c r="P14" s="20"/>
      <x:c r="Q14" s="20"/>
      <x:c r="R14" s="20"/>
      <x:c r="S14" s="20"/>
      <x:c r="T14" s="24"/>
      <x:c r="U14" s="22"/>
      <x:c r="V14" s="22"/>
      <x:c r="W14" s="22"/>
    </x:row>
    <x:row r="15">
      <x:c r="M15" s="22"/>
      <x:c r="N15" s="22"/>
      <x:c r="O15" s="20"/>
      <x:c r="P15" s="20"/>
      <x:c r="Q15" s="20"/>
      <x:c r="R15" s="20"/>
      <x:c r="S15" s="20"/>
      <x:c r="T15" s="24"/>
      <x:c r="U15" s="22"/>
      <x:c r="V15" s="22"/>
      <x:c r="W15" s="22"/>
    </x:row>
    <x:row r="16">
      <x:c r="M16" s="22"/>
      <x:c r="N16" s="22"/>
      <x:c r="O16" s="20"/>
      <x:c r="P16" s="20"/>
      <x:c r="Q16" s="20"/>
      <x:c r="R16" s="20"/>
      <x:c r="S16" s="20"/>
      <x:c r="T16" s="24"/>
      <x:c r="U16" s="22"/>
      <x:c r="V16" s="22"/>
      <x:c r="W16" s="22"/>
    </x:row>
    <x:row r="17">
      <x:c r="M17" s="22"/>
      <x:c r="N17" s="22"/>
      <x:c r="O17" s="20"/>
      <x:c r="P17" s="20"/>
      <x:c r="Q17" s="20"/>
      <x:c r="R17" s="20"/>
      <x:c r="S17" s="20"/>
      <x:c r="T17" s="24"/>
      <x:c r="U17" s="22"/>
      <x:c r="V17" s="22"/>
      <x:c r="W17" s="22"/>
    </x:row>
    <x:row r="18">
      <x:c r="M18" s="22"/>
      <x:c r="N18" s="22"/>
      <x:c r="O18" s="20"/>
      <x:c r="P18" s="20"/>
      <x:c r="Q18" s="20"/>
      <x:c r="R18" s="20"/>
      <x:c r="S18" s="20"/>
      <x:c r="T18" s="24"/>
      <x:c r="U18" s="22"/>
      <x:c r="V18" s="22"/>
      <x:c r="W18" s="22"/>
    </x:row>
    <x:row r="19">
      <x:c r="M19" s="22"/>
      <x:c r="N19" s="22"/>
      <x:c r="O19" s="20"/>
      <x:c r="P19" s="20"/>
      <x:c r="Q19" s="20"/>
      <x:c r="R19" s="20"/>
      <x:c r="S19" s="20"/>
      <x:c r="T19" s="24"/>
      <x:c r="U19" s="22"/>
      <x:c r="V19" s="22"/>
      <x:c r="W19" s="22"/>
    </x:row>
    <x:row r="20">
      <x:c r="M20" s="22"/>
      <x:c r="N20" s="22"/>
      <x:c r="O20" s="20"/>
      <x:c r="P20" s="20"/>
      <x:c r="Q20" s="20"/>
      <x:c r="R20" s="20"/>
      <x:c r="S20" s="20"/>
      <x:c r="T20" s="24"/>
      <x:c r="U20" s="22"/>
      <x:c r="V20" s="22"/>
      <x:c r="W20" s="22"/>
    </x:row>
    <x:row r="21">
      <x:c r="M21" s="22"/>
      <x:c r="N21" s="22"/>
      <x:c r="O21" s="20"/>
      <x:c r="P21" s="20"/>
      <x:c r="Q21" s="20"/>
      <x:c r="R21" s="20"/>
      <x:c r="S21" s="20"/>
      <x:c r="T21" s="24"/>
      <x:c r="U21" s="22"/>
      <x:c r="V21" s="22"/>
      <x:c r="W21" s="22"/>
    </x:row>
    <x:row r="22">
      <x:c r="M22" s="22"/>
      <x:c r="N22" s="22"/>
      <x:c r="O22" s="20"/>
      <x:c r="P22" s="20"/>
      <x:c r="Q22" s="20"/>
      <x:c r="R22" s="20"/>
      <x:c r="S22" s="20"/>
      <x:c r="T22" s="24"/>
      <x:c r="U22" s="22"/>
      <x:c r="V22" s="22"/>
      <x:c r="W22" s="22"/>
    </x:row>
    <x:row r="23">
      <x:c r="M23" s="22"/>
      <x:c r="N23" s="22"/>
      <x:c r="O23" s="20"/>
      <x:c r="P23" s="20"/>
      <x:c r="Q23" s="20"/>
      <x:c r="R23" s="20"/>
      <x:c r="S23" s="20"/>
      <x:c r="T23" s="24"/>
      <x:c r="U23" s="22"/>
      <x:c r="V23" s="22"/>
      <x:c r="W23" s="22"/>
    </x:row>
    <x:row r="24">
      <x:c r="M24" s="22"/>
      <x:c r="N24" s="22"/>
      <x:c r="O24" s="20"/>
      <x:c r="P24" s="20"/>
      <x:c r="Q24" s="20"/>
      <x:c r="R24" s="20"/>
      <x:c r="S24" s="20"/>
      <x:c r="T24" s="24"/>
      <x:c r="U24" s="22"/>
      <x:c r="V24" s="22"/>
      <x:c r="W24" s="22"/>
    </x:row>
    <x:row r="25">
      <x:c r="M25" s="22"/>
      <x:c r="N25" s="22"/>
      <x:c r="O25" s="20"/>
      <x:c r="P25" s="20"/>
      <x:c r="Q25" s="20"/>
      <x:c r="R25" s="20"/>
      <x:c r="S25" s="20"/>
      <x:c r="T25" s="24"/>
      <x:c r="U25" s="22"/>
      <x:c r="V25" s="22"/>
      <x:c r="W25" s="22"/>
    </x:row>
    <x:row r="26">
      <x:c r="M26" s="22"/>
      <x:c r="N26" s="22"/>
      <x:c r="O26" s="20"/>
      <x:c r="P26" s="20"/>
      <x:c r="Q26" s="20"/>
      <x:c r="R26" s="20"/>
      <x:c r="S26" s="20"/>
      <x:c r="T26" s="24"/>
      <x:c r="U26" s="22"/>
      <x:c r="V26" s="22"/>
      <x:c r="W26" s="22"/>
    </x:row>
    <x:row r="27">
      <x:c r="M27" s="22"/>
      <x:c r="N27" s="22"/>
      <x:c r="O27" s="20"/>
      <x:c r="P27" s="20"/>
      <x:c r="Q27" s="20"/>
      <x:c r="R27" s="20"/>
      <x:c r="S27" s="20"/>
      <x:c r="T27" s="24"/>
      <x:c r="U27" s="22"/>
      <x:c r="V27" s="22"/>
      <x:c r="W27" s="22"/>
    </x:row>
    <x:row r="28">
      <x:c r="M28" s="22"/>
      <x:c r="N28" s="22"/>
      <x:c r="O28" s="20"/>
      <x:c r="P28" s="20"/>
      <x:c r="Q28" s="20"/>
      <x:c r="R28" s="20"/>
      <x:c r="S28" s="20"/>
      <x:c r="T28" s="24"/>
      <x:c r="U28" s="22"/>
      <x:c r="V28" s="22"/>
      <x:c r="W28" s="22"/>
    </x:row>
    <x:row r="29">
      <x:c r="M29" s="22"/>
      <x:c r="N29" s="22"/>
      <x:c r="O29" s="20"/>
      <x:c r="P29" s="20"/>
      <x:c r="Q29" s="20"/>
      <x:c r="R29" s="20"/>
      <x:c r="S29" s="20"/>
      <x:c r="T29" s="24"/>
      <x:c r="U29" s="22"/>
      <x:c r="V29" s="22"/>
      <x:c r="W29" s="22"/>
    </x:row>
    <x:row r="30">
      <x:c r="M30" s="22"/>
      <x:c r="N30" s="22"/>
      <x:c r="O30" s="20"/>
      <x:c r="P30" s="20"/>
      <x:c r="Q30" s="20"/>
      <x:c r="R30" s="20"/>
      <x:c r="S30" s="20"/>
      <x:c r="T30" s="24"/>
      <x:c r="U30" s="22"/>
      <x:c r="V30" s="22"/>
      <x:c r="W30" s="22"/>
    </x:row>
    <x:row r="31">
      <x:c r="M31" s="22"/>
      <x:c r="N31" s="22"/>
      <x:c r="O31" s="20"/>
      <x:c r="P31" s="20"/>
      <x:c r="Q31" s="20"/>
      <x:c r="R31" s="20"/>
      <x:c r="S31" s="20"/>
      <x:c r="T31" s="24"/>
      <x:c r="U31" s="22"/>
      <x:c r="V31" s="22"/>
      <x:c r="W31" s="22"/>
    </x:row>
    <x:row r="32">
      <x:c r="M32" s="22"/>
      <x:c r="N32" s="22"/>
      <x:c r="O32" s="20"/>
      <x:c r="P32" s="20"/>
      <x:c r="Q32" s="20"/>
      <x:c r="R32" s="20"/>
      <x:c r="S32" s="20"/>
      <x:c r="T32" s="24"/>
      <x:c r="U32" s="22"/>
      <x:c r="V32" s="22"/>
      <x:c r="W32" s="22"/>
    </x:row>
    <x:row r="33">
      <x:c r="M33" s="22"/>
      <x:c r="N33" s="22"/>
      <x:c r="O33" s="20"/>
      <x:c r="P33" s="20"/>
      <x:c r="Q33" s="20"/>
      <x:c r="R33" s="20"/>
      <x:c r="S33" s="20"/>
      <x:c r="T33" s="24"/>
      <x:c r="U33" s="22"/>
      <x:c r="V33" s="22"/>
      <x:c r="W33" s="22"/>
    </x:row>
    <x:row r="34">
      <x:c r="M34" s="22"/>
      <x:c r="N34" s="22"/>
      <x:c r="O34" s="20"/>
      <x:c r="P34" s="20"/>
      <x:c r="Q34" s="20"/>
      <x:c r="R34" s="20"/>
      <x:c r="S34" s="20"/>
      <x:c r="T34" s="24"/>
      <x:c r="U34" s="22"/>
      <x:c r="V34" s="22"/>
      <x:c r="W34" s="22"/>
    </x:row>
    <x:row r="35">
      <x:c r="M35" s="22"/>
      <x:c r="N35" s="22"/>
      <x:c r="O35" s="20"/>
      <x:c r="P35" s="20"/>
      <x:c r="Q35" s="20"/>
      <x:c r="R35" s="20"/>
      <x:c r="S35" s="20"/>
      <x:c r="T35" s="24"/>
      <x:c r="U35" s="22"/>
      <x:c r="V35" s="22"/>
      <x:c r="W35" s="22"/>
    </x:row>
    <x:row r="36">
      <x:c r="M36" s="22"/>
      <x:c r="N36" s="22"/>
      <x:c r="O36" s="20"/>
      <x:c r="P36" s="20"/>
      <x:c r="Q36" s="20"/>
      <x:c r="R36" s="20"/>
      <x:c r="S36" s="20"/>
      <x:c r="T36" s="24"/>
      <x:c r="U36" s="22"/>
      <x:c r="V36" s="22"/>
      <x:c r="W36" s="22"/>
    </x:row>
    <x:row r="37">
      <x:c r="M37" s="22"/>
      <x:c r="N37" s="22"/>
      <x:c r="O37" s="20"/>
      <x:c r="P37" s="20"/>
      <x:c r="Q37" s="20"/>
      <x:c r="R37" s="20"/>
      <x:c r="S37" s="20"/>
      <x:c r="T37" s="24"/>
      <x:c r="U37" s="22"/>
      <x:c r="V37" s="22"/>
      <x:c r="W37" s="22"/>
    </x:row>
    <x:row r="38">
      <x:c r="M38" s="22"/>
      <x:c r="N38" s="22"/>
      <x:c r="O38" s="20"/>
      <x:c r="P38" s="20"/>
      <x:c r="Q38" s="20"/>
      <x:c r="R38" s="20"/>
      <x:c r="S38" s="20"/>
      <x:c r="T38" s="24"/>
      <x:c r="U38" s="22"/>
      <x:c r="V38" s="22"/>
      <x:c r="W38" s="22"/>
    </x:row>
    <x:row r="39">
      <x:c r="M39" s="22"/>
      <x:c r="N39" s="22"/>
      <x:c r="O39" s="20"/>
      <x:c r="P39" s="20"/>
      <x:c r="Q39" s="20"/>
      <x:c r="R39" s="20"/>
      <x:c r="S39" s="20"/>
      <x:c r="T39" s="24"/>
      <x:c r="U39" s="22"/>
      <x:c r="V39" s="22"/>
      <x:c r="W39" s="22"/>
    </x:row>
    <x:row r="40">
      <x:c r="M40" s="22"/>
      <x:c r="N40" s="22"/>
      <x:c r="O40" s="20"/>
      <x:c r="P40" s="20"/>
      <x:c r="Q40" s="20"/>
      <x:c r="R40" s="20"/>
      <x:c r="S40" s="20"/>
      <x:c r="T40" s="24"/>
      <x:c r="U40" s="22"/>
      <x:c r="V40" s="22"/>
      <x:c r="W40" s="22"/>
    </x:row>
    <x:row r="41">
      <x:c r="M41" s="22"/>
      <x:c r="N41" s="22"/>
      <x:c r="O41" s="20"/>
      <x:c r="P41" s="20"/>
      <x:c r="Q41" s="20"/>
      <x:c r="R41" s="20"/>
      <x:c r="S41" s="20"/>
      <x:c r="T41" s="24"/>
      <x:c r="U41" s="22"/>
      <x:c r="V41" s="22"/>
      <x:c r="W41" s="22"/>
    </x:row>
    <x:row r="42">
      <x:c r="M42" s="22"/>
      <x:c r="N42" s="22"/>
      <x:c r="O42" s="20"/>
      <x:c r="P42" s="20"/>
      <x:c r="Q42" s="20"/>
      <x:c r="R42" s="20"/>
      <x:c r="S42" s="20"/>
      <x:c r="T42" s="24"/>
      <x:c r="U42" s="22"/>
      <x:c r="V42" s="22"/>
      <x:c r="W42" s="22"/>
    </x:row>
    <x:row r="43">
      <x:c r="M43" s="22"/>
      <x:c r="N43" s="22"/>
      <x:c r="O43" s="20"/>
      <x:c r="P43" s="20"/>
      <x:c r="Q43" s="20"/>
      <x:c r="R43" s="20"/>
      <x:c r="S43" s="20"/>
      <x:c r="T43" s="24"/>
      <x:c r="U43" s="22"/>
      <x:c r="V43" s="22"/>
      <x:c r="W43" s="22"/>
    </x:row>
    <x:row r="44">
      <x:c r="M44" s="22"/>
      <x:c r="N44" s="22"/>
      <x:c r="O44" s="20"/>
      <x:c r="P44" s="20"/>
      <x:c r="Q44" s="20"/>
      <x:c r="R44" s="20"/>
      <x:c r="S44" s="20"/>
      <x:c r="T44" s="24"/>
      <x:c r="U44" s="22"/>
      <x:c r="V44" s="22"/>
      <x:c r="W44" s="22"/>
    </x:row>
    <x:row r="45">
      <x:c r="M45" s="22"/>
      <x:c r="N45" s="22"/>
      <x:c r="O45" s="20"/>
      <x:c r="P45" s="20"/>
      <x:c r="Q45" s="20"/>
      <x:c r="R45" s="20"/>
      <x:c r="S45" s="20"/>
      <x:c r="T45" s="24"/>
      <x:c r="U45" s="22"/>
      <x:c r="V45" s="22"/>
      <x:c r="W45" s="22"/>
    </x:row>
    <x:row r="46">
      <x:c r="M46" s="22"/>
      <x:c r="N46" s="22"/>
      <x:c r="O46" s="20"/>
      <x:c r="P46" s="20"/>
      <x:c r="Q46" s="20"/>
      <x:c r="R46" s="20"/>
      <x:c r="S46" s="20"/>
      <x:c r="T46" s="24"/>
      <x:c r="U46" s="22"/>
      <x:c r="V46" s="22"/>
      <x:c r="W46" s="22"/>
    </x:row>
    <x:row r="47">
      <x:c r="M47" s="22"/>
      <x:c r="N47" s="22"/>
      <x:c r="O47" s="20"/>
      <x:c r="P47" s="20"/>
      <x:c r="Q47" s="20"/>
      <x:c r="R47" s="20"/>
      <x:c r="S47" s="20"/>
      <x:c r="T47" s="24"/>
      <x:c r="U47" s="22"/>
      <x:c r="V47" s="22"/>
      <x:c r="W47" s="22"/>
    </x:row>
    <x:row r="48">
      <x:c r="M48" s="22"/>
      <x:c r="N48" s="22"/>
      <x:c r="O48" s="20"/>
      <x:c r="P48" s="20"/>
      <x:c r="Q48" s="20"/>
      <x:c r="R48" s="20"/>
      <x:c r="S48" s="20"/>
      <x:c r="T48" s="24"/>
      <x:c r="U48" s="22"/>
      <x:c r="V48" s="22"/>
      <x:c r="W48" s="22"/>
    </x:row>
    <x:row r="49">
      <x:c r="M49" s="22"/>
      <x:c r="N49" s="22"/>
      <x:c r="O49" s="20"/>
      <x:c r="P49" s="20"/>
      <x:c r="Q49" s="20"/>
      <x:c r="R49" s="20"/>
      <x:c r="S49" s="20"/>
      <x:c r="T49" s="24"/>
      <x:c r="U49" s="22"/>
      <x:c r="V49" s="22"/>
      <x:c r="W49" s="22"/>
    </x:row>
    <x:row r="50">
      <x:c r="M50" s="22"/>
      <x:c r="N50" s="22"/>
      <x:c r="O50" s="20"/>
      <x:c r="P50" s="20"/>
      <x:c r="Q50" s="20"/>
      <x:c r="R50" s="20"/>
      <x:c r="S50" s="20"/>
      <x:c r="T50" s="24"/>
      <x:c r="U50" s="22"/>
      <x:c r="V50" s="22"/>
      <x:c r="W50" s="22"/>
    </x:row>
    <x:row r="51">
      <x:c r="M51" s="22"/>
      <x:c r="N51" s="22"/>
      <x:c r="O51" s="20"/>
      <x:c r="P51" s="20"/>
      <x:c r="Q51" s="20"/>
      <x:c r="R51" s="20"/>
      <x:c r="S51" s="20"/>
      <x:c r="T51" s="24"/>
      <x:c r="U51" s="22"/>
      <x:c r="V51" s="22"/>
      <x:c r="W51" s="22"/>
    </x:row>
    <x:row r="52">
      <x:c r="M52" s="22"/>
      <x:c r="N52" s="22"/>
      <x:c r="O52" s="20"/>
      <x:c r="P52" s="20"/>
      <x:c r="Q52" s="20"/>
      <x:c r="R52" s="20"/>
      <x:c r="S52" s="20"/>
      <x:c r="T52" s="24"/>
      <x:c r="U52" s="22"/>
      <x:c r="V52" s="22"/>
      <x:c r="W52" s="22"/>
    </x:row>
    <x:row r="53">
      <x:c r="M53" s="22"/>
      <x:c r="N53" s="22"/>
      <x:c r="O53" s="20"/>
      <x:c r="P53" s="20"/>
      <x:c r="Q53" s="20"/>
      <x:c r="R53" s="20"/>
      <x:c r="S53" s="20"/>
      <x:c r="T53" s="24"/>
      <x:c r="U53" s="22"/>
      <x:c r="V53" s="22"/>
      <x:c r="W53" s="22"/>
    </x:row>
    <x:row r="54">
      <x:c r="M54" s="22"/>
      <x:c r="N54" s="22"/>
      <x:c r="O54" s="20"/>
      <x:c r="P54" s="20"/>
      <x:c r="Q54" s="20"/>
      <x:c r="R54" s="20"/>
      <x:c r="S54" s="20"/>
      <x:c r="T54" s="24"/>
      <x:c r="U54" s="22"/>
      <x:c r="V54" s="22"/>
      <x:c r="W54" s="22"/>
    </x:row>
    <x:row r="55">
      <x:c r="M55" s="22"/>
      <x:c r="N55" s="22"/>
      <x:c r="O55" s="20"/>
      <x:c r="P55" s="20"/>
      <x:c r="Q55" s="20"/>
      <x:c r="R55" s="20"/>
      <x:c r="S55" s="20"/>
      <x:c r="T55" s="24"/>
      <x:c r="U55" s="22"/>
      <x:c r="V55" s="22"/>
      <x:c r="W55" s="22"/>
    </x:row>
    <x:row r="56">
      <x:c r="M56" s="22"/>
      <x:c r="N56" s="22"/>
      <x:c r="O56" s="20"/>
      <x:c r="P56" s="20"/>
      <x:c r="Q56" s="20"/>
      <x:c r="R56" s="20"/>
      <x:c r="S56" s="20"/>
      <x:c r="T56" s="24"/>
      <x:c r="U56" s="22"/>
      <x:c r="V56" s="22"/>
      <x:c r="W56" s="22"/>
    </x:row>
    <x:row r="57">
      <x:c r="M57" s="22"/>
      <x:c r="N57" s="22"/>
      <x:c r="O57" s="20"/>
      <x:c r="P57" s="20"/>
      <x:c r="Q57" s="20"/>
      <x:c r="R57" s="20"/>
      <x:c r="S57" s="20"/>
      <x:c r="T57" s="24"/>
      <x:c r="U57" s="22"/>
      <x:c r="V57" s="22"/>
      <x:c r="W57" s="22"/>
    </x:row>
    <x:row r="58">
      <x:c r="M58" s="22"/>
      <x:c r="N58" s="22"/>
      <x:c r="O58" s="20"/>
      <x:c r="P58" s="20"/>
      <x:c r="Q58" s="20"/>
      <x:c r="R58" s="20"/>
      <x:c r="S58" s="20"/>
      <x:c r="T58" s="24"/>
      <x:c r="U58" s="22"/>
      <x:c r="V58" s="22"/>
      <x:c r="W58" s="22"/>
    </x:row>
    <x:row r="59">
      <x:c r="M59" s="22"/>
      <x:c r="N59" s="22"/>
      <x:c r="O59" s="20"/>
      <x:c r="P59" s="20"/>
      <x:c r="Q59" s="20"/>
      <x:c r="R59" s="20"/>
      <x:c r="S59" s="20"/>
      <x:c r="T59" s="24"/>
      <x:c r="U59" s="22"/>
      <x:c r="V59" s="22"/>
      <x:c r="W59" s="22"/>
    </x:row>
    <x:row r="60">
      <x:c r="M60" s="22"/>
      <x:c r="N60" s="22"/>
      <x:c r="O60" s="20"/>
      <x:c r="P60" s="20"/>
      <x:c r="Q60" s="20"/>
      <x:c r="R60" s="20"/>
      <x:c r="S60" s="20"/>
      <x:c r="T60" s="24"/>
      <x:c r="U60" s="22"/>
      <x:c r="V60" s="22"/>
      <x:c r="W60" s="22"/>
    </x:row>
    <x:row r="61">
      <x:c r="M61" s="22"/>
      <x:c r="N61" s="22"/>
      <x:c r="O61" s="20"/>
      <x:c r="P61" s="20"/>
      <x:c r="Q61" s="20"/>
      <x:c r="R61" s="20"/>
      <x:c r="S61" s="20"/>
      <x:c r="T61" s="24"/>
      <x:c r="U61" s="22"/>
      <x:c r="V61" s="22"/>
      <x:c r="W61" s="22"/>
    </x:row>
    <x:row r="62">
      <x:c r="M62" s="22"/>
      <x:c r="N62" s="22"/>
      <x:c r="O62" s="20"/>
      <x:c r="P62" s="20"/>
      <x:c r="Q62" s="20"/>
      <x:c r="R62" s="20"/>
      <x:c r="S62" s="20"/>
      <x:c r="T62" s="24"/>
      <x:c r="U62" s="22"/>
      <x:c r="V62" s="22"/>
      <x:c r="W62" s="22"/>
    </x:row>
    <x:row r="63">
      <x:c r="M63" s="22"/>
      <x:c r="N63" s="22"/>
      <x:c r="O63" s="20"/>
      <x:c r="P63" s="20"/>
      <x:c r="Q63" s="20"/>
      <x:c r="R63" s="20"/>
      <x:c r="S63" s="20"/>
      <x:c r="T63" s="24"/>
      <x:c r="U63" s="22"/>
      <x:c r="V63" s="22"/>
      <x:c r="W63" s="22"/>
    </x:row>
    <x:row r="64">
      <x:c r="M64" s="22"/>
      <x:c r="N64" s="22"/>
      <x:c r="O64" s="20"/>
      <x:c r="P64" s="20"/>
      <x:c r="Q64" s="20"/>
      <x:c r="R64" s="20"/>
      <x:c r="S64" s="20"/>
      <x:c r="T64" s="24"/>
      <x:c r="U64" s="22"/>
      <x:c r="V64" s="22"/>
      <x:c r="W64" s="22"/>
    </x:row>
    <x:row r="65">
      <x:c r="M65" s="22"/>
      <x:c r="N65" s="22"/>
      <x:c r="O65" s="20"/>
      <x:c r="P65" s="20"/>
      <x:c r="Q65" s="20"/>
      <x:c r="R65" s="20"/>
      <x:c r="S65" s="20"/>
      <x:c r="T65" s="24"/>
      <x:c r="U65" s="22"/>
      <x:c r="V65" s="22"/>
      <x:c r="W65" s="22"/>
    </x:row>
    <x:row r="66">
      <x:c r="M66" s="22"/>
      <x:c r="N66" s="22"/>
      <x:c r="O66" s="20"/>
      <x:c r="P66" s="20"/>
      <x:c r="Q66" s="20"/>
      <x:c r="R66" s="20"/>
      <x:c r="S66" s="20"/>
      <x:c r="T66" s="24"/>
      <x:c r="U66" s="22"/>
      <x:c r="V66" s="22"/>
      <x:c r="W66" s="22"/>
    </x:row>
    <x:row r="67">
      <x:c r="M67" s="22"/>
      <x:c r="N67" s="22"/>
      <x:c r="O67" s="20"/>
      <x:c r="P67" s="20"/>
      <x:c r="Q67" s="20"/>
      <x:c r="R67" s="20"/>
      <x:c r="S67" s="20"/>
      <x:c r="T67" s="24"/>
      <x:c r="U67" s="22"/>
      <x:c r="V67" s="22"/>
      <x:c r="W67" s="22"/>
    </x:row>
    <x:row r="68">
      <x:c r="M68" s="22"/>
      <x:c r="N68" s="22"/>
      <x:c r="O68" s="20"/>
      <x:c r="P68" s="20"/>
      <x:c r="Q68" s="20"/>
      <x:c r="R68" s="20"/>
      <x:c r="S68" s="20"/>
      <x:c r="T68" s="24"/>
      <x:c r="U68" s="22"/>
      <x:c r="V68" s="22"/>
      <x:c r="W68" s="22"/>
    </x:row>
    <x:row r="69">
      <x:c r="M69" s="22"/>
      <x:c r="N69" s="22"/>
      <x:c r="O69" s="20"/>
      <x:c r="P69" s="20"/>
      <x:c r="Q69" s="20"/>
      <x:c r="R69" s="20"/>
      <x:c r="S69" s="20"/>
      <x:c r="T69" s="24"/>
      <x:c r="U69" s="22"/>
      <x:c r="V69" s="22"/>
      <x:c r="W69" s="22"/>
    </x:row>
    <x:row r="70">
      <x:c r="M70" s="22"/>
      <x:c r="N70" s="22"/>
      <x:c r="O70" s="20"/>
      <x:c r="P70" s="20"/>
      <x:c r="Q70" s="20"/>
      <x:c r="R70" s="20"/>
      <x:c r="S70" s="20"/>
      <x:c r="T70" s="24"/>
      <x:c r="U70" s="22"/>
      <x:c r="V70" s="22"/>
      <x:c r="W70" s="22"/>
    </x:row>
    <x:row r="71">
      <x:c r="M71" s="22"/>
      <x:c r="N71" s="22"/>
      <x:c r="O71" s="20"/>
      <x:c r="P71" s="20"/>
      <x:c r="Q71" s="20"/>
      <x:c r="R71" s="20"/>
      <x:c r="S71" s="20"/>
      <x:c r="T71" s="24"/>
      <x:c r="U71" s="22"/>
      <x:c r="V71" s="22"/>
      <x:c r="W71" s="22"/>
    </x:row>
    <x:row r="72">
      <x:c r="M72" s="22"/>
      <x:c r="N72" s="22"/>
      <x:c r="O72" s="20"/>
      <x:c r="P72" s="20"/>
      <x:c r="Q72" s="20"/>
      <x:c r="R72" s="20"/>
      <x:c r="S72" s="20"/>
      <x:c r="T72" s="24"/>
      <x:c r="U72" s="22"/>
      <x:c r="V72" s="22"/>
      <x:c r="W72" s="22"/>
    </x:row>
    <x:row r="73">
      <x:c r="M73" s="22"/>
      <x:c r="N73" s="22"/>
      <x:c r="O73" s="20"/>
      <x:c r="P73" s="20"/>
      <x:c r="Q73" s="20"/>
      <x:c r="R73" s="20"/>
      <x:c r="S73" s="20"/>
      <x:c r="T73" s="24"/>
      <x:c r="U73" s="22"/>
      <x:c r="V73" s="22"/>
      <x:c r="W73" s="22"/>
    </x:row>
    <x:row r="74">
      <x:c r="M74" s="22"/>
      <x:c r="N74" s="22"/>
      <x:c r="O74" s="20"/>
      <x:c r="P74" s="20"/>
      <x:c r="Q74" s="20"/>
      <x:c r="R74" s="20"/>
      <x:c r="S74" s="20"/>
      <x:c r="T74" s="24"/>
      <x:c r="U74" s="22"/>
      <x:c r="V74" s="22"/>
      <x:c r="W74" s="22"/>
    </x:row>
    <x:row r="75">
      <x:c r="M75" s="22"/>
      <x:c r="N75" s="22"/>
      <x:c r="O75" s="20"/>
      <x:c r="P75" s="20"/>
      <x:c r="Q75" s="20"/>
      <x:c r="R75" s="20"/>
      <x:c r="S75" s="20"/>
      <x:c r="T75" s="24"/>
      <x:c r="U75" s="22"/>
      <x:c r="V75" s="22"/>
      <x:c r="W75" s="22"/>
    </x:row>
    <x:row r="76">
      <x:c r="M76" s="22"/>
      <x:c r="N76" s="22"/>
      <x:c r="O76" s="20"/>
      <x:c r="P76" s="20"/>
      <x:c r="Q76" s="20"/>
      <x:c r="R76" s="20"/>
      <x:c r="S76" s="20"/>
      <x:c r="T76" s="24"/>
      <x:c r="U76" s="22"/>
      <x:c r="V76" s="22"/>
      <x:c r="W76" s="22"/>
    </x:row>
    <x:row r="77">
      <x:c r="M77" s="22"/>
      <x:c r="N77" s="22"/>
      <x:c r="O77" s="20"/>
      <x:c r="P77" s="20"/>
      <x:c r="Q77" s="20"/>
      <x:c r="R77" s="20"/>
      <x:c r="S77" s="20"/>
      <x:c r="T77" s="24"/>
      <x:c r="U77" s="22"/>
      <x:c r="V77" s="22"/>
      <x:c r="W77" s="22"/>
    </x:row>
    <x:row r="78">
      <x:c r="M78" s="22"/>
      <x:c r="N78" s="22"/>
      <x:c r="O78" s="20"/>
      <x:c r="P78" s="20"/>
      <x:c r="Q78" s="20"/>
      <x:c r="R78" s="20"/>
      <x:c r="S78" s="20"/>
      <x:c r="T78" s="24"/>
      <x:c r="U78" s="22"/>
      <x:c r="V78" s="22"/>
      <x:c r="W78" s="22"/>
    </x:row>
    <x:row r="79">
      <x:c r="M79" s="22"/>
      <x:c r="N79" s="22"/>
      <x:c r="O79" s="20"/>
      <x:c r="P79" s="20"/>
      <x:c r="Q79" s="20"/>
      <x:c r="R79" s="20"/>
      <x:c r="S79" s="20"/>
      <x:c r="T79" s="24"/>
      <x:c r="U79" s="22"/>
      <x:c r="V79" s="22"/>
      <x:c r="W79" s="22"/>
    </x:row>
    <x:row r="80">
      <x:c r="M80" s="22"/>
      <x:c r="N80" s="22"/>
      <x:c r="O80" s="20"/>
      <x:c r="P80" s="20"/>
      <x:c r="Q80" s="20"/>
      <x:c r="R80" s="20"/>
      <x:c r="S80" s="20"/>
      <x:c r="T80" s="24"/>
      <x:c r="U80" s="22"/>
      <x:c r="V80" s="22"/>
      <x:c r="W80" s="22"/>
    </x:row>
    <x:row r="81">
      <x:c r="M81" s="22"/>
      <x:c r="N81" s="22"/>
      <x:c r="O81" s="20"/>
      <x:c r="P81" s="20"/>
      <x:c r="Q81" s="20"/>
      <x:c r="R81" s="20"/>
      <x:c r="S81" s="20"/>
      <x:c r="T81" s="24"/>
      <x:c r="U81" s="22"/>
      <x:c r="V81" s="22"/>
      <x:c r="W81" s="22"/>
    </x:row>
    <x:row r="82">
      <x:c r="M82" s="22"/>
      <x:c r="N82" s="22"/>
      <x:c r="O82" s="20"/>
      <x:c r="P82" s="20"/>
      <x:c r="Q82" s="20"/>
      <x:c r="R82" s="20"/>
      <x:c r="S82" s="20"/>
      <x:c r="T82" s="24"/>
      <x:c r="U82" s="22"/>
      <x:c r="V82" s="22"/>
      <x:c r="W82" s="22"/>
    </x:row>
    <x:row r="83">
      <x:c r="M83" s="22"/>
      <x:c r="N83" s="22"/>
      <x:c r="O83" s="20"/>
      <x:c r="P83" s="20"/>
      <x:c r="Q83" s="20"/>
      <x:c r="R83" s="20"/>
      <x:c r="S83" s="20"/>
      <x:c r="T83" s="24"/>
      <x:c r="U83" s="22"/>
      <x:c r="V83" s="22"/>
      <x:c r="W83" s="22"/>
    </x:row>
    <x:row r="84">
      <x:c r="M84" s="22"/>
      <x:c r="N84" s="22"/>
      <x:c r="O84" s="20"/>
      <x:c r="P84" s="20"/>
      <x:c r="Q84" s="20"/>
      <x:c r="R84" s="20"/>
      <x:c r="S84" s="20"/>
      <x:c r="T84" s="24"/>
      <x:c r="U84" s="22"/>
      <x:c r="V84" s="22"/>
      <x:c r="W84" s="22"/>
    </x:row>
    <x:row r="85">
      <x:c r="M85" s="22"/>
      <x:c r="N85" s="22"/>
      <x:c r="O85" s="20"/>
      <x:c r="P85" s="20"/>
      <x:c r="Q85" s="20"/>
      <x:c r="R85" s="20"/>
      <x:c r="S85" s="20"/>
      <x:c r="T85" s="24"/>
      <x:c r="U85" s="22"/>
      <x:c r="V85" s="22"/>
      <x:c r="W85" s="22"/>
    </x:row>
    <x:row r="86">
      <x:c r="M86" s="22"/>
      <x:c r="N86" s="22"/>
      <x:c r="O86" s="20"/>
      <x:c r="P86" s="20"/>
      <x:c r="Q86" s="20"/>
      <x:c r="R86" s="20"/>
      <x:c r="S86" s="20"/>
      <x:c r="T86" s="24"/>
      <x:c r="U86" s="22"/>
      <x:c r="V86" s="22"/>
      <x:c r="W86" s="22"/>
    </x:row>
    <x:row r="87">
      <x:c r="M87" s="22"/>
      <x:c r="N87" s="22"/>
      <x:c r="O87" s="20"/>
      <x:c r="P87" s="20"/>
      <x:c r="Q87" s="20"/>
      <x:c r="R87" s="20"/>
      <x:c r="S87" s="20"/>
      <x:c r="T87" s="24"/>
      <x:c r="U87" s="22"/>
      <x:c r="V87" s="22"/>
      <x:c r="W87" s="22"/>
    </x:row>
    <x:row r="88">
      <x:c r="M88" s="22"/>
      <x:c r="N88" s="22"/>
      <x:c r="O88" s="20"/>
      <x:c r="P88" s="20"/>
      <x:c r="Q88" s="20"/>
      <x:c r="R88" s="20"/>
      <x:c r="S88" s="20"/>
      <x:c r="T88" s="24"/>
      <x:c r="U88" s="22"/>
      <x:c r="V88" s="22"/>
      <x:c r="W88" s="22"/>
    </x:row>
    <x:row r="89">
      <x:c r="M89" s="22"/>
      <x:c r="N89" s="22"/>
      <x:c r="O89" s="20"/>
      <x:c r="P89" s="20"/>
      <x:c r="Q89" s="20"/>
      <x:c r="R89" s="20"/>
      <x:c r="S89" s="20"/>
      <x:c r="T89" s="24"/>
      <x:c r="U89" s="22"/>
      <x:c r="V89" s="22"/>
      <x:c r="W89" s="22"/>
    </x:row>
    <x:row r="90">
      <x:c r="M90" s="22"/>
      <x:c r="N90" s="22"/>
      <x:c r="O90" s="20"/>
      <x:c r="P90" s="20"/>
      <x:c r="Q90" s="20"/>
      <x:c r="R90" s="20"/>
      <x:c r="S90" s="20"/>
      <x:c r="T90" s="24"/>
      <x:c r="U90" s="22"/>
      <x:c r="V90" s="22"/>
      <x:c r="W90" s="22"/>
    </x:row>
    <x:row r="91">
      <x:c r="M91" s="22"/>
      <x:c r="N91" s="22"/>
      <x:c r="O91" s="20"/>
      <x:c r="P91" s="20"/>
      <x:c r="Q91" s="20"/>
      <x:c r="R91" s="20"/>
      <x:c r="S91" s="20"/>
      <x:c r="T91" s="24"/>
      <x:c r="U91" s="22"/>
      <x:c r="V91" s="22"/>
      <x:c r="W91" s="22"/>
    </x:row>
    <x:row r="92">
      <x:c r="M92" s="22"/>
      <x:c r="N92" s="22"/>
      <x:c r="O92" s="20"/>
      <x:c r="P92" s="20"/>
      <x:c r="Q92" s="20"/>
      <x:c r="R92" s="20"/>
      <x:c r="S92" s="20"/>
      <x:c r="T92" s="24"/>
      <x:c r="U92" s="22"/>
      <x:c r="V92" s="22"/>
      <x:c r="W92" s="22"/>
    </x:row>
    <x:row r="93">
      <x:c r="M93" s="22"/>
      <x:c r="N93" s="22"/>
      <x:c r="O93" s="20"/>
      <x:c r="P93" s="20"/>
      <x:c r="Q93" s="20"/>
      <x:c r="R93" s="20"/>
      <x:c r="S93" s="20"/>
      <x:c r="T93" s="24"/>
      <x:c r="U93" s="22"/>
      <x:c r="V93" s="22"/>
      <x:c r="W93" s="22"/>
    </x:row>
    <x:row r="94">
      <x:c r="M94" s="22"/>
      <x:c r="N94" s="22"/>
      <x:c r="O94" s="20"/>
      <x:c r="P94" s="20"/>
      <x:c r="Q94" s="20"/>
      <x:c r="R94" s="20"/>
      <x:c r="S94" s="20"/>
      <x:c r="T94" s="24"/>
      <x:c r="U94" s="22"/>
      <x:c r="V94" s="22"/>
      <x:c r="W94" s="22"/>
    </x:row>
    <x:row r="95">
      <x:c r="M95" s="22"/>
      <x:c r="N95" s="22"/>
      <x:c r="O95" s="20"/>
      <x:c r="P95" s="20"/>
      <x:c r="Q95" s="20"/>
      <x:c r="R95" s="20"/>
      <x:c r="S95" s="20"/>
      <x:c r="T95" s="24"/>
      <x:c r="U95" s="22"/>
      <x:c r="V95" s="22"/>
      <x:c r="W95" s="22"/>
    </x:row>
    <x:row r="96">
      <x:c r="M96" s="22"/>
      <x:c r="N96" s="22"/>
      <x:c r="O96" s="20"/>
      <x:c r="P96" s="20"/>
      <x:c r="Q96" s="20"/>
      <x:c r="R96" s="20"/>
      <x:c r="S96" s="20"/>
      <x:c r="T96" s="24"/>
      <x:c r="U96" s="22"/>
      <x:c r="V96" s="22"/>
      <x:c r="W96" s="22"/>
    </x:row>
    <x:row r="97">
      <x:c r="M97" s="22"/>
      <x:c r="N97" s="22"/>
      <x:c r="O97" s="20"/>
      <x:c r="P97" s="20"/>
      <x:c r="Q97" s="20"/>
      <x:c r="R97" s="20"/>
      <x:c r="S97" s="20"/>
      <x:c r="T97" s="24"/>
      <x:c r="U97" s="22"/>
      <x:c r="V97" s="22"/>
      <x:c r="W97" s="22"/>
    </x:row>
    <x:row r="98">
      <x:c r="M98" s="22"/>
      <x:c r="N98" s="22"/>
      <x:c r="O98" s="20"/>
      <x:c r="P98" s="20"/>
      <x:c r="Q98" s="20"/>
      <x:c r="R98" s="20"/>
      <x:c r="S98" s="20"/>
      <x:c r="T98" s="24"/>
      <x:c r="U98" s="22"/>
      <x:c r="V98" s="22"/>
      <x:c r="W98" s="22"/>
    </x:row>
    <x:row r="99">
      <x:c r="M99" s="22"/>
      <x:c r="N99" s="22"/>
      <x:c r="O99" s="20"/>
      <x:c r="P99" s="20"/>
      <x:c r="Q99" s="20"/>
      <x:c r="R99" s="20"/>
      <x:c r="S99" s="20"/>
      <x:c r="T99" s="24"/>
      <x:c r="U99" s="22"/>
      <x:c r="V99" s="22"/>
      <x:c r="W99" s="22"/>
    </x:row>
    <x:row r="100">
      <x:c r="M100" s="22"/>
      <x:c r="N100" s="22"/>
      <x:c r="O100" s="20"/>
      <x:c r="P100" s="20"/>
      <x:c r="Q100" s="20"/>
      <x:c r="R100" s="20"/>
      <x:c r="S100" s="20"/>
      <x:c r="T100" s="24"/>
      <x:c r="U100" s="22"/>
      <x:c r="V100" s="22"/>
      <x:c r="W100" s="22"/>
    </x:row>
    <x:row r="101">
      <x:c r="M101" s="22"/>
      <x:c r="N101" s="22"/>
      <x:c r="O101" s="20"/>
      <x:c r="P101" s="20"/>
      <x:c r="Q101" s="20"/>
      <x:c r="R101" s="20"/>
      <x:c r="S101" s="20"/>
      <x:c r="T101" s="24"/>
      <x:c r="U101" s="22"/>
      <x:c r="V101" s="22"/>
      <x:c r="W101" s="22"/>
    </x:row>
    <x:row r="102">
      <x:c r="M102" s="22"/>
      <x:c r="N102" s="22"/>
      <x:c r="O102" s="20"/>
      <x:c r="P102" s="20"/>
      <x:c r="Q102" s="20"/>
      <x:c r="R102" s="20"/>
      <x:c r="S102" s="20"/>
      <x:c r="T102" s="24"/>
      <x:c r="U102" s="22"/>
      <x:c r="V102" s="22"/>
      <x:c r="W102" s="22"/>
    </x:row>
    <x:row r="103">
      <x:c r="M103" s="22"/>
      <x:c r="N103" s="22"/>
      <x:c r="O103" s="20"/>
      <x:c r="P103" s="20"/>
      <x:c r="Q103" s="20"/>
      <x:c r="R103" s="20"/>
      <x:c r="S103" s="20"/>
      <x:c r="T103" s="24"/>
      <x:c r="U103" s="22"/>
      <x:c r="V103" s="22"/>
      <x:c r="W103" s="22"/>
    </x:row>
    <x:row r="104">
      <x:c r="M104" s="22"/>
      <x:c r="N104" s="22"/>
      <x:c r="O104" s="20"/>
      <x:c r="P104" s="20"/>
      <x:c r="Q104" s="20"/>
      <x:c r="R104" s="20"/>
      <x:c r="S104" s="20"/>
      <x:c r="T104" s="24"/>
      <x:c r="U104" s="22"/>
      <x:c r="V104" s="22"/>
      <x:c r="W104" s="22"/>
    </x:row>
    <x:row r="105">
      <x:c r="M105" s="22"/>
      <x:c r="N105" s="22"/>
      <x:c r="O105" s="20"/>
      <x:c r="P105" s="20"/>
      <x:c r="Q105" s="20"/>
      <x:c r="R105" s="20"/>
      <x:c r="S105" s="20"/>
      <x:c r="T105" s="24"/>
      <x:c r="U105" s="22"/>
      <x:c r="V105" s="22"/>
      <x:c r="W105" s="22"/>
    </x:row>
    <x:row r="106">
      <x:c r="M106" s="22"/>
      <x:c r="N106" s="22"/>
      <x:c r="O106" s="20"/>
      <x:c r="P106" s="20"/>
      <x:c r="Q106" s="20"/>
      <x:c r="R106" s="20"/>
      <x:c r="S106" s="20"/>
      <x:c r="T106" s="24"/>
      <x:c r="U106" s="22"/>
      <x:c r="V106" s="22"/>
      <x:c r="W106" s="22"/>
    </x:row>
    <x:row r="107">
      <x:c r="M107" s="22"/>
      <x:c r="N107" s="22"/>
      <x:c r="O107" s="20"/>
      <x:c r="P107" s="20"/>
      <x:c r="Q107" s="20"/>
      <x:c r="R107" s="20"/>
      <x:c r="S107" s="20"/>
      <x:c r="T107" s="24"/>
      <x:c r="U107" s="22"/>
      <x:c r="V107" s="22"/>
      <x:c r="W107" s="22"/>
    </x:row>
    <x:row r="108">
      <x:c r="M108" s="22"/>
      <x:c r="N108" s="22"/>
      <x:c r="O108" s="20"/>
      <x:c r="P108" s="20"/>
      <x:c r="Q108" s="20"/>
      <x:c r="R108" s="20"/>
      <x:c r="S108" s="20"/>
      <x:c r="T108" s="24"/>
      <x:c r="U108" s="22"/>
      <x:c r="V108" s="22"/>
      <x:c r="W108" s="22"/>
    </x:row>
    <x:row r="109">
      <x:c r="M109" s="22"/>
      <x:c r="N109" s="22"/>
      <x:c r="O109" s="20"/>
      <x:c r="P109" s="20"/>
      <x:c r="Q109" s="20"/>
      <x:c r="R109" s="20"/>
      <x:c r="S109" s="20"/>
      <x:c r="T109" s="24"/>
      <x:c r="U109" s="22"/>
      <x:c r="V109" s="22"/>
      <x:c r="W109" s="22"/>
    </x:row>
    <x:row r="110">
      <x:c r="M110" s="22"/>
      <x:c r="N110" s="22"/>
      <x:c r="O110" s="20"/>
      <x:c r="P110" s="20"/>
      <x:c r="Q110" s="20"/>
      <x:c r="R110" s="20"/>
      <x:c r="S110" s="20"/>
      <x:c r="T110" s="24"/>
      <x:c r="U110" s="22"/>
      <x:c r="V110" s="22"/>
      <x:c r="W110" s="22"/>
    </x:row>
    <x:row r="111">
      <x:c r="M111" s="22"/>
      <x:c r="N111" s="22"/>
      <x:c r="O111" s="20"/>
      <x:c r="P111" s="20"/>
      <x:c r="Q111" s="20"/>
      <x:c r="R111" s="20"/>
      <x:c r="S111" s="20"/>
      <x:c r="T111" s="24"/>
      <x:c r="U111" s="22"/>
      <x:c r="V111" s="22"/>
      <x:c r="W111" s="22"/>
    </x:row>
    <x:row r="112">
      <x:c r="M112" s="22"/>
      <x:c r="N112" s="22"/>
      <x:c r="O112" s="20"/>
      <x:c r="P112" s="20"/>
      <x:c r="Q112" s="20"/>
      <x:c r="R112" s="20"/>
      <x:c r="S112" s="20"/>
      <x:c r="T112" s="24"/>
      <x:c r="U112" s="22"/>
      <x:c r="V112" s="22"/>
      <x:c r="W112" s="22"/>
    </x:row>
    <x:row r="113">
      <x:c r="M113" s="22"/>
      <x:c r="N113" s="22"/>
      <x:c r="O113" s="20"/>
      <x:c r="P113" s="20"/>
      <x:c r="Q113" s="20"/>
      <x:c r="R113" s="20"/>
      <x:c r="S113" s="20"/>
      <x:c r="T113" s="24"/>
      <x:c r="U113" s="22"/>
      <x:c r="V113" s="22"/>
      <x:c r="W113" s="22"/>
    </x:row>
    <x:row r="114">
      <x:c r="M114" s="22"/>
      <x:c r="N114" s="22"/>
      <x:c r="O114" s="20"/>
      <x:c r="P114" s="20"/>
      <x:c r="Q114" s="20"/>
      <x:c r="R114" s="20"/>
      <x:c r="S114" s="20"/>
      <x:c r="T114" s="24"/>
      <x:c r="U114" s="22"/>
      <x:c r="V114" s="22"/>
      <x:c r="W114" s="22"/>
    </x:row>
    <x:row r="115">
      <x:c r="M115" s="22"/>
      <x:c r="N115" s="22"/>
      <x:c r="O115" s="20"/>
      <x:c r="P115" s="20"/>
      <x:c r="Q115" s="20"/>
      <x:c r="R115" s="20"/>
      <x:c r="S115" s="20"/>
      <x:c r="T115" s="24"/>
      <x:c r="U115" s="22"/>
      <x:c r="V115" s="22"/>
      <x:c r="W115" s="22"/>
    </x:row>
    <x:row r="116">
      <x:c r="M116" s="22"/>
      <x:c r="N116" s="22"/>
      <x:c r="O116" s="20"/>
      <x:c r="P116" s="20"/>
      <x:c r="Q116" s="20"/>
      <x:c r="R116" s="20"/>
      <x:c r="S116" s="20"/>
      <x:c r="T116" s="24"/>
      <x:c r="U116" s="22"/>
      <x:c r="V116" s="22"/>
      <x:c r="W116" s="22"/>
    </x:row>
    <x:row r="117">
      <x:c r="M117" s="22"/>
      <x:c r="N117" s="22"/>
      <x:c r="O117" s="20"/>
      <x:c r="P117" s="20"/>
      <x:c r="Q117" s="20"/>
      <x:c r="R117" s="20"/>
      <x:c r="S117" s="20"/>
      <x:c r="T117" s="24"/>
      <x:c r="U117" s="22"/>
      <x:c r="V117" s="22"/>
      <x:c r="W117" s="22"/>
    </x:row>
    <x:row r="118">
      <x:c r="M118" s="22"/>
      <x:c r="N118" s="22"/>
      <x:c r="O118" s="20"/>
      <x:c r="P118" s="20"/>
      <x:c r="Q118" s="20"/>
      <x:c r="R118" s="20"/>
      <x:c r="S118" s="20"/>
      <x:c r="T118" s="24"/>
      <x:c r="U118" s="22"/>
      <x:c r="V118" s="22"/>
      <x:c r="W118" s="22"/>
    </x:row>
    <x:row r="119">
      <x:c r="M119" s="22"/>
      <x:c r="N119" s="22"/>
      <x:c r="O119" s="20"/>
      <x:c r="P119" s="20"/>
      <x:c r="Q119" s="20"/>
      <x:c r="R119" s="20"/>
      <x:c r="S119" s="20"/>
      <x:c r="T119" s="24"/>
      <x:c r="U119" s="22"/>
      <x:c r="V119" s="22"/>
      <x:c r="W119" s="22"/>
    </x:row>
    <x:row r="120">
      <x:c r="M120" s="22"/>
      <x:c r="N120" s="22"/>
      <x:c r="O120" s="20"/>
      <x:c r="P120" s="20"/>
      <x:c r="Q120" s="20"/>
      <x:c r="R120" s="20"/>
      <x:c r="S120" s="20"/>
      <x:c r="T120" s="24"/>
      <x:c r="U120" s="22"/>
      <x:c r="V120" s="22"/>
      <x:c r="W120" s="22"/>
    </x:row>
    <x:row r="121">
      <x:c r="M121" s="22"/>
      <x:c r="N121" s="22"/>
      <x:c r="O121" s="20"/>
      <x:c r="P121" s="20"/>
      <x:c r="Q121" s="20"/>
      <x:c r="R121" s="20"/>
      <x:c r="S121" s="20"/>
      <x:c r="T121" s="24"/>
      <x:c r="U121" s="22"/>
      <x:c r="V121" s="22"/>
      <x:c r="W121" s="22"/>
    </x:row>
    <x:row r="122">
      <x:c r="M122" s="22"/>
      <x:c r="N122" s="22"/>
      <x:c r="O122" s="20"/>
      <x:c r="P122" s="20"/>
      <x:c r="Q122" s="20"/>
      <x:c r="R122" s="20"/>
      <x:c r="S122" s="20"/>
      <x:c r="T122" s="24"/>
      <x:c r="U122" s="22"/>
      <x:c r="V122" s="22"/>
      <x:c r="W122" s="22"/>
    </x:row>
    <x:row r="123">
      <x:c r="M123" s="22"/>
      <x:c r="N123" s="22"/>
      <x:c r="O123" s="20"/>
      <x:c r="P123" s="20"/>
      <x:c r="Q123" s="20"/>
      <x:c r="R123" s="20"/>
      <x:c r="S123" s="20"/>
      <x:c r="T123" s="24"/>
      <x:c r="U123" s="22"/>
      <x:c r="V123" s="22"/>
      <x:c r="W123" s="22"/>
    </x:row>
    <x:row r="124">
      <x:c r="M124" s="22"/>
      <x:c r="N124" s="22"/>
      <x:c r="O124" s="20"/>
      <x:c r="P124" s="20"/>
      <x:c r="Q124" s="20"/>
      <x:c r="R124" s="20"/>
      <x:c r="S124" s="20"/>
      <x:c r="T124" s="24"/>
      <x:c r="U124" s="22"/>
      <x:c r="V124" s="22"/>
      <x:c r="W124" s="22"/>
    </x:row>
    <x:row r="125">
      <x:c r="M125" s="22"/>
      <x:c r="N125" s="22"/>
      <x:c r="O125" s="20"/>
      <x:c r="P125" s="20"/>
      <x:c r="Q125" s="20"/>
      <x:c r="R125" s="20"/>
      <x:c r="S125" s="20"/>
      <x:c r="T125" s="24"/>
      <x:c r="U125" s="22"/>
      <x:c r="V125" s="22"/>
      <x:c r="W125" s="22"/>
    </x:row>
    <x:row r="126">
      <x:c r="M126" s="22"/>
      <x:c r="N126" s="22"/>
      <x:c r="O126" s="20"/>
      <x:c r="P126" s="20"/>
      <x:c r="Q126" s="20"/>
      <x:c r="R126" s="20"/>
      <x:c r="S126" s="20"/>
      <x:c r="T126" s="24"/>
      <x:c r="U126" s="22"/>
      <x:c r="V126" s="22"/>
      <x:c r="W126" s="22"/>
    </x:row>
    <x:row r="127">
      <x:c r="M127" s="22"/>
      <x:c r="N127" s="22"/>
      <x:c r="O127" s="20"/>
      <x:c r="P127" s="20"/>
      <x:c r="Q127" s="20"/>
      <x:c r="R127" s="20"/>
      <x:c r="S127" s="20"/>
      <x:c r="T127" s="24"/>
      <x:c r="U127" s="22"/>
      <x:c r="V127" s="22"/>
      <x:c r="W127" s="22"/>
    </x:row>
    <x:row r="128">
      <x:c r="M128" s="22"/>
      <x:c r="N128" s="22"/>
      <x:c r="O128" s="20"/>
      <x:c r="P128" s="20"/>
      <x:c r="Q128" s="20"/>
      <x:c r="R128" s="20"/>
      <x:c r="S128" s="20"/>
      <x:c r="T128" s="24"/>
      <x:c r="U128" s="22"/>
      <x:c r="V128" s="22"/>
      <x:c r="W128" s="22"/>
    </x:row>
    <x:row r="129">
      <x:c r="M129" s="22"/>
      <x:c r="N129" s="22"/>
      <x:c r="O129" s="20"/>
      <x:c r="P129" s="20"/>
      <x:c r="Q129" s="20"/>
      <x:c r="R129" s="20"/>
      <x:c r="S129" s="20"/>
      <x:c r="T129" s="24"/>
      <x:c r="U129" s="22"/>
      <x:c r="V129" s="22"/>
      <x:c r="W129" s="22"/>
    </x:row>
    <x:row r="130">
      <x:c r="M130" s="22"/>
      <x:c r="N130" s="22"/>
      <x:c r="O130" s="20"/>
      <x:c r="P130" s="20"/>
      <x:c r="Q130" s="20"/>
      <x:c r="R130" s="20"/>
      <x:c r="S130" s="20"/>
      <x:c r="T130" s="24"/>
      <x:c r="U130" s="22"/>
      <x:c r="V130" s="22"/>
      <x:c r="W130" s="22"/>
    </x:row>
    <x:row r="131">
      <x:c r="M131" s="22"/>
      <x:c r="N131" s="22"/>
      <x:c r="O131" s="20"/>
      <x:c r="P131" s="20"/>
      <x:c r="Q131" s="20"/>
      <x:c r="R131" s="20"/>
      <x:c r="S131" s="20"/>
      <x:c r="T131" s="24"/>
      <x:c r="U131" s="22"/>
      <x:c r="V131" s="22"/>
      <x:c r="W131" s="22"/>
    </x:row>
    <x:row r="132">
      <x:c r="M132" s="22"/>
      <x:c r="N132" s="22"/>
      <x:c r="O132" s="20"/>
      <x:c r="P132" s="20"/>
      <x:c r="Q132" s="20"/>
      <x:c r="R132" s="20"/>
      <x:c r="S132" s="20"/>
      <x:c r="T132" s="24"/>
      <x:c r="U132" s="22"/>
      <x:c r="V132" s="22"/>
      <x:c r="W132" s="22"/>
    </x:row>
    <x:row r="133">
      <x:c r="M133" s="22"/>
      <x:c r="N133" s="22"/>
      <x:c r="O133" s="20"/>
      <x:c r="P133" s="20"/>
      <x:c r="Q133" s="20"/>
      <x:c r="R133" s="20"/>
      <x:c r="S133" s="20"/>
      <x:c r="T133" s="24"/>
      <x:c r="U133" s="22"/>
      <x:c r="V133" s="22"/>
      <x:c r="W133" s="22"/>
    </x:row>
    <x:row r="134">
      <x:c r="M134" s="22"/>
      <x:c r="N134" s="22"/>
      <x:c r="O134" s="20"/>
      <x:c r="P134" s="20"/>
      <x:c r="Q134" s="20"/>
      <x:c r="R134" s="20"/>
      <x:c r="S134" s="20"/>
      <x:c r="T134" s="24"/>
      <x:c r="U134" s="22"/>
      <x:c r="V134" s="22"/>
      <x:c r="W134" s="22"/>
    </x:row>
    <x:row r="135">
      <x:c r="M135" s="22"/>
      <x:c r="N135" s="22"/>
      <x:c r="O135" s="20"/>
      <x:c r="P135" s="20"/>
      <x:c r="Q135" s="20"/>
      <x:c r="R135" s="20"/>
      <x:c r="S135" s="20"/>
      <x:c r="T135" s="24"/>
      <x:c r="U135" s="22"/>
      <x:c r="V135" s="22"/>
      <x:c r="W135" s="22"/>
    </x:row>
    <x:row r="136">
      <x:c r="M136" s="22"/>
      <x:c r="N136" s="22"/>
      <x:c r="O136" s="20"/>
      <x:c r="P136" s="20"/>
      <x:c r="Q136" s="20"/>
      <x:c r="R136" s="20"/>
      <x:c r="S136" s="20"/>
      <x:c r="T136" s="24"/>
      <x:c r="U136" s="22"/>
      <x:c r="V136" s="22"/>
      <x:c r="W136" s="22"/>
    </x:row>
    <x:row r="137">
      <x:c r="M137" s="22"/>
      <x:c r="N137" s="22"/>
      <x:c r="O137" s="20"/>
      <x:c r="P137" s="20"/>
      <x:c r="Q137" s="20"/>
      <x:c r="R137" s="20"/>
      <x:c r="S137" s="20"/>
      <x:c r="T137" s="24"/>
      <x:c r="U137" s="22"/>
      <x:c r="V137" s="22"/>
      <x:c r="W137" s="22"/>
    </x:row>
    <x:row r="138">
      <x:c r="M138" s="22"/>
      <x:c r="N138" s="22"/>
      <x:c r="O138" s="20"/>
      <x:c r="P138" s="20"/>
      <x:c r="Q138" s="20"/>
      <x:c r="R138" s="20"/>
      <x:c r="S138" s="20"/>
      <x:c r="T138" s="24"/>
      <x:c r="U138" s="22"/>
      <x:c r="V138" s="22"/>
      <x:c r="W138" s="22"/>
    </x:row>
    <x:row r="139">
      <x:c r="M139" s="22"/>
      <x:c r="N139" s="22"/>
      <x:c r="O139" s="20"/>
      <x:c r="P139" s="20"/>
      <x:c r="Q139" s="20"/>
      <x:c r="R139" s="20"/>
      <x:c r="S139" s="20"/>
      <x:c r="T139" s="24"/>
      <x:c r="U139" s="22"/>
      <x:c r="V139" s="22"/>
      <x:c r="W139" s="22"/>
    </x:row>
    <x:row r="140">
      <x:c r="M140" s="22"/>
      <x:c r="N140" s="22"/>
      <x:c r="O140" s="20"/>
      <x:c r="P140" s="20"/>
      <x:c r="Q140" s="20"/>
      <x:c r="R140" s="20"/>
      <x:c r="S140" s="20"/>
      <x:c r="T140" s="24"/>
      <x:c r="U140" s="22"/>
      <x:c r="V140" s="22"/>
      <x:c r="W140" s="22"/>
    </x:row>
    <x:row r="141">
      <x:c r="M141" s="22"/>
      <x:c r="N141" s="22"/>
      <x:c r="O141" s="20"/>
      <x:c r="P141" s="20"/>
      <x:c r="Q141" s="20"/>
      <x:c r="R141" s="20"/>
      <x:c r="S141" s="20"/>
      <x:c r="T141" s="24"/>
      <x:c r="U141" s="22"/>
      <x:c r="V141" s="22"/>
      <x:c r="W141" s="22"/>
    </x:row>
    <x:row r="142">
      <x:c r="M142" s="22"/>
      <x:c r="N142" s="22"/>
      <x:c r="O142" s="20"/>
      <x:c r="P142" s="20"/>
      <x:c r="Q142" s="20"/>
      <x:c r="R142" s="20"/>
      <x:c r="S142" s="20"/>
      <x:c r="T142" s="24"/>
      <x:c r="U142" s="22"/>
      <x:c r="V142" s="22"/>
      <x:c r="W142" s="22"/>
    </x:row>
    <x:row r="143">
      <x:c r="M143" s="22"/>
      <x:c r="N143" s="22"/>
      <x:c r="O143" s="20"/>
      <x:c r="P143" s="20"/>
      <x:c r="Q143" s="20"/>
      <x:c r="R143" s="20"/>
      <x:c r="S143" s="20"/>
      <x:c r="T143" s="24"/>
      <x:c r="U143" s="22"/>
      <x:c r="V143" s="22"/>
      <x:c r="W143" s="22"/>
    </x:row>
    <x:row r="144">
      <x:c r="M144" s="22"/>
      <x:c r="N144" s="22"/>
      <x:c r="O144" s="20"/>
      <x:c r="P144" s="20"/>
      <x:c r="Q144" s="20"/>
      <x:c r="R144" s="20"/>
      <x:c r="S144" s="20"/>
      <x:c r="T144" s="24"/>
      <x:c r="U144" s="22"/>
      <x:c r="V144" s="22"/>
      <x:c r="W144" s="22"/>
    </x:row>
    <x:row r="145">
      <x:c r="M145" s="22"/>
      <x:c r="N145" s="22"/>
      <x:c r="O145" s="20"/>
      <x:c r="P145" s="20"/>
      <x:c r="Q145" s="20"/>
      <x:c r="R145" s="20"/>
      <x:c r="S145" s="20"/>
      <x:c r="T145" s="24"/>
      <x:c r="U145" s="22"/>
      <x:c r="V145" s="22"/>
      <x:c r="W145" s="22"/>
    </x:row>
    <x:row r="146">
      <x:c r="M146" s="22"/>
      <x:c r="N146" s="22"/>
      <x:c r="O146" s="20"/>
      <x:c r="P146" s="20"/>
      <x:c r="Q146" s="20"/>
      <x:c r="R146" s="20"/>
      <x:c r="S146" s="20"/>
      <x:c r="T146" s="24"/>
      <x:c r="U146" s="22"/>
      <x:c r="V146" s="22"/>
      <x:c r="W146" s="22"/>
    </x:row>
    <x:row r="147">
      <x:c r="M147" s="22"/>
      <x:c r="N147" s="22"/>
      <x:c r="O147" s="20"/>
      <x:c r="P147" s="20"/>
      <x:c r="Q147" s="20"/>
      <x:c r="R147" s="20"/>
      <x:c r="S147" s="20"/>
      <x:c r="T147" s="24"/>
      <x:c r="U147" s="22"/>
      <x:c r="V147" s="22"/>
      <x:c r="W147" s="22"/>
    </x:row>
    <x:row r="148">
      <x:c r="M148" s="22"/>
      <x:c r="N148" s="22"/>
      <x:c r="O148" s="20"/>
      <x:c r="P148" s="20"/>
      <x:c r="Q148" s="20"/>
      <x:c r="R148" s="20"/>
      <x:c r="S148" s="20"/>
      <x:c r="T148" s="24"/>
      <x:c r="U148" s="22"/>
      <x:c r="V148" s="22"/>
      <x:c r="W148" s="22"/>
    </x:row>
    <x:row r="149">
      <x:c r="M149" s="22"/>
      <x:c r="N149" s="22"/>
      <x:c r="O149" s="20"/>
      <x:c r="P149" s="20"/>
      <x:c r="Q149" s="20"/>
      <x:c r="R149" s="20"/>
      <x:c r="S149" s="20"/>
      <x:c r="T149" s="24"/>
      <x:c r="U149" s="22"/>
      <x:c r="V149" s="22"/>
      <x:c r="W149" s="22"/>
    </x:row>
    <x:row r="150">
      <x:c r="M150" s="22"/>
      <x:c r="N150" s="22"/>
      <x:c r="O150" s="20"/>
      <x:c r="P150" s="20"/>
      <x:c r="Q150" s="20"/>
      <x:c r="R150" s="20"/>
      <x:c r="S150" s="20"/>
      <x:c r="T150" s="24"/>
      <x:c r="U150" s="22"/>
      <x:c r="V150" s="22"/>
      <x:c r="W150" s="22"/>
    </x:row>
    <x:row r="151">
      <x:c r="M151" s="22"/>
      <x:c r="N151" s="22"/>
      <x:c r="O151" s="20"/>
      <x:c r="P151" s="20"/>
      <x:c r="Q151" s="20"/>
      <x:c r="R151" s="20"/>
      <x:c r="S151" s="20"/>
      <x:c r="T151" s="24"/>
      <x:c r="U151" s="22"/>
      <x:c r="V151" s="22"/>
      <x:c r="W151" s="22"/>
    </x:row>
    <x:row r="152">
      <x:c r="M152" s="22"/>
      <x:c r="N152" s="22"/>
      <x:c r="O152" s="20"/>
      <x:c r="P152" s="20"/>
      <x:c r="Q152" s="20"/>
      <x:c r="R152" s="20"/>
      <x:c r="S152" s="20"/>
      <x:c r="T152" s="24"/>
      <x:c r="U152" s="22"/>
      <x:c r="V152" s="22"/>
      <x:c r="W152" s="22"/>
    </x:row>
    <x:row r="153">
      <x:c r="M153" s="22"/>
      <x:c r="N153" s="22"/>
      <x:c r="O153" s="20"/>
      <x:c r="P153" s="20"/>
      <x:c r="Q153" s="20"/>
      <x:c r="R153" s="20"/>
      <x:c r="S153" s="20"/>
      <x:c r="T153" s="24"/>
      <x:c r="U153" s="22"/>
      <x:c r="V153" s="22"/>
      <x:c r="W153" s="22"/>
    </x:row>
    <x:row r="154">
      <x:c r="M154" s="22"/>
      <x:c r="N154" s="22"/>
      <x:c r="O154" s="20"/>
      <x:c r="P154" s="20"/>
      <x:c r="Q154" s="20"/>
      <x:c r="R154" s="20"/>
      <x:c r="S154" s="20"/>
      <x:c r="T154" s="24"/>
      <x:c r="U154" s="22"/>
      <x:c r="V154" s="22"/>
      <x:c r="W154" s="22"/>
    </x:row>
    <x:row r="155">
      <x:c r="M155" s="22"/>
      <x:c r="N155" s="22"/>
      <x:c r="O155" s="20"/>
      <x:c r="P155" s="20"/>
      <x:c r="Q155" s="20"/>
      <x:c r="R155" s="20"/>
      <x:c r="S155" s="20"/>
      <x:c r="T155" s="24"/>
      <x:c r="U155" s="22"/>
      <x:c r="V155" s="22"/>
      <x:c r="W155" s="22"/>
    </x:row>
    <x:row r="156">
      <x:c r="M156" s="22"/>
      <x:c r="N156" s="22"/>
      <x:c r="O156" s="20"/>
      <x:c r="P156" s="20"/>
      <x:c r="Q156" s="20"/>
      <x:c r="R156" s="20"/>
      <x:c r="S156" s="20"/>
      <x:c r="T156" s="24"/>
      <x:c r="U156" s="22"/>
      <x:c r="V156" s="22"/>
      <x:c r="W156" s="22"/>
    </x:row>
    <x:row r="157">
      <x:c r="M157" s="22"/>
      <x:c r="N157" s="22"/>
      <x:c r="O157" s="20"/>
      <x:c r="P157" s="20"/>
      <x:c r="Q157" s="20"/>
      <x:c r="R157" s="20"/>
      <x:c r="S157" s="20"/>
      <x:c r="T157" s="24"/>
      <x:c r="U157" s="22"/>
      <x:c r="V157" s="22"/>
      <x:c r="W157" s="22"/>
    </x:row>
    <x:row r="158">
      <x:c r="M158" s="22"/>
      <x:c r="N158" s="22"/>
      <x:c r="O158" s="20"/>
      <x:c r="P158" s="20"/>
      <x:c r="Q158" s="20"/>
      <x:c r="R158" s="20"/>
      <x:c r="S158" s="20"/>
      <x:c r="T158" s="24"/>
      <x:c r="U158" s="22"/>
      <x:c r="V158" s="22"/>
      <x:c r="W158" s="22"/>
    </x:row>
    <x:row r="159">
      <x:c r="M159" s="22"/>
      <x:c r="N159" s="22"/>
      <x:c r="O159" s="20"/>
      <x:c r="P159" s="20"/>
      <x:c r="Q159" s="20"/>
      <x:c r="R159" s="20"/>
      <x:c r="S159" s="20"/>
      <x:c r="T159" s="24"/>
      <x:c r="U159" s="22"/>
      <x:c r="V159" s="22"/>
      <x:c r="W159" s="22"/>
    </x:row>
    <x:row r="160">
      <x:c r="M160" s="22"/>
      <x:c r="N160" s="22"/>
      <x:c r="O160" s="20"/>
      <x:c r="P160" s="20"/>
      <x:c r="Q160" s="20"/>
      <x:c r="R160" s="20"/>
      <x:c r="S160" s="20"/>
      <x:c r="T160" s="24"/>
      <x:c r="U160" s="22"/>
      <x:c r="V160" s="22"/>
      <x:c r="W160" s="22"/>
    </x:row>
    <x:row r="161">
      <x:c r="M161" s="22"/>
      <x:c r="N161" s="22"/>
      <x:c r="O161" s="20"/>
      <x:c r="P161" s="20"/>
      <x:c r="Q161" s="20"/>
      <x:c r="R161" s="20"/>
      <x:c r="S161" s="20"/>
      <x:c r="T161" s="24"/>
      <x:c r="U161" s="22"/>
      <x:c r="V161" s="22"/>
      <x:c r="W161" s="22"/>
    </x:row>
    <x:row r="162">
      <x:c r="M162" s="22"/>
      <x:c r="N162" s="22"/>
      <x:c r="O162" s="20"/>
      <x:c r="P162" s="20"/>
      <x:c r="Q162" s="20"/>
      <x:c r="R162" s="20"/>
      <x:c r="S162" s="20"/>
      <x:c r="T162" s="24"/>
      <x:c r="U162" s="22"/>
      <x:c r="V162" s="22"/>
      <x:c r="W162" s="22"/>
    </x:row>
    <x:row r="163">
      <x:c r="M163" s="22"/>
      <x:c r="N163" s="22"/>
      <x:c r="O163" s="20"/>
      <x:c r="P163" s="20"/>
      <x:c r="Q163" s="20"/>
      <x:c r="R163" s="20"/>
      <x:c r="S163" s="20"/>
      <x:c r="T163" s="24"/>
      <x:c r="U163" s="22"/>
      <x:c r="V163" s="22"/>
      <x:c r="W163" s="22"/>
    </x:row>
    <x:row r="164">
      <x:c r="M164" s="22"/>
      <x:c r="N164" s="22"/>
      <x:c r="O164" s="20"/>
      <x:c r="P164" s="20"/>
      <x:c r="Q164" s="20"/>
      <x:c r="R164" s="20"/>
      <x:c r="S164" s="20"/>
      <x:c r="T164" s="24"/>
      <x:c r="U164" s="22"/>
      <x:c r="V164" s="22"/>
      <x:c r="W164" s="22"/>
    </x:row>
    <x:row r="165">
      <x:c r="M165" s="22"/>
      <x:c r="N165" s="22"/>
      <x:c r="O165" s="20"/>
      <x:c r="P165" s="20"/>
      <x:c r="Q165" s="20"/>
      <x:c r="R165" s="20"/>
      <x:c r="S165" s="20"/>
      <x:c r="T165" s="24"/>
      <x:c r="U165" s="22"/>
      <x:c r="V165" s="22"/>
      <x:c r="W165" s="22"/>
    </x:row>
    <x:row r="166">
      <x:c r="M166" s="22"/>
      <x:c r="N166" s="22"/>
      <x:c r="O166" s="20"/>
      <x:c r="P166" s="20"/>
      <x:c r="Q166" s="20"/>
      <x:c r="R166" s="20"/>
      <x:c r="S166" s="20"/>
      <x:c r="T166" s="24"/>
      <x:c r="U166" s="22"/>
      <x:c r="V166" s="22"/>
      <x:c r="W166" s="22"/>
    </x:row>
    <x:row r="167">
      <x:c r="M167" s="22"/>
      <x:c r="N167" s="22"/>
      <x:c r="O167" s="20"/>
      <x:c r="P167" s="20"/>
      <x:c r="Q167" s="20"/>
      <x:c r="R167" s="20"/>
      <x:c r="S167" s="20"/>
      <x:c r="T167" s="24"/>
      <x:c r="U167" s="22"/>
      <x:c r="V167" s="22"/>
      <x:c r="W167" s="22"/>
    </x:row>
    <x:row r="168">
      <x:c r="M168" s="22"/>
      <x:c r="N168" s="22"/>
      <x:c r="O168" s="20"/>
      <x:c r="P168" s="20"/>
      <x:c r="Q168" s="20"/>
      <x:c r="R168" s="20"/>
      <x:c r="S168" s="20"/>
      <x:c r="T168" s="24"/>
      <x:c r="U168" s="22"/>
      <x:c r="V168" s="22"/>
      <x:c r="W168" s="22"/>
    </x:row>
    <x:row r="169">
      <x:c r="M169" s="22"/>
      <x:c r="N169" s="22"/>
      <x:c r="O169" s="20"/>
      <x:c r="P169" s="20"/>
      <x:c r="Q169" s="20"/>
      <x:c r="R169" s="20"/>
      <x:c r="S169" s="20"/>
      <x:c r="T169" s="24"/>
      <x:c r="U169" s="22"/>
      <x:c r="V169" s="22"/>
      <x:c r="W169" s="22"/>
    </x:row>
    <x:row r="170">
      <x:c r="M170" s="22"/>
      <x:c r="N170" s="22"/>
      <x:c r="O170" s="20"/>
      <x:c r="P170" s="20"/>
      <x:c r="Q170" s="20"/>
      <x:c r="R170" s="20"/>
      <x:c r="S170" s="20"/>
      <x:c r="T170" s="24"/>
      <x:c r="U170" s="22"/>
      <x:c r="V170" s="22"/>
      <x:c r="W170" s="22"/>
    </x:row>
    <x:row r="171">
      <x:c r="M171" s="22"/>
      <x:c r="N171" s="22"/>
      <x:c r="O171" s="20"/>
      <x:c r="P171" s="20"/>
      <x:c r="Q171" s="20"/>
      <x:c r="R171" s="20"/>
      <x:c r="S171" s="20"/>
      <x:c r="T171" s="24"/>
      <x:c r="U171" s="22"/>
      <x:c r="V171" s="22"/>
      <x:c r="W171" s="22"/>
    </x:row>
    <x:row r="172">
      <x:c r="M172" s="22"/>
      <x:c r="N172" s="22"/>
      <x:c r="O172" s="20"/>
      <x:c r="P172" s="20"/>
      <x:c r="Q172" s="20"/>
      <x:c r="R172" s="20"/>
      <x:c r="S172" s="20"/>
      <x:c r="T172" s="24"/>
      <x:c r="U172" s="22"/>
      <x:c r="V172" s="22"/>
      <x:c r="W172" s="22"/>
    </x:row>
    <x:row r="173">
      <x:c r="M173" s="22"/>
      <x:c r="N173" s="22"/>
      <x:c r="O173" s="20"/>
      <x:c r="P173" s="20"/>
      <x:c r="Q173" s="20"/>
      <x:c r="R173" s="20"/>
      <x:c r="S173" s="20"/>
      <x:c r="T173" s="24"/>
      <x:c r="U173" s="22"/>
      <x:c r="V173" s="22"/>
      <x:c r="W173" s="22"/>
    </x:row>
    <x:row r="174">
      <x:c r="M174" s="22"/>
      <x:c r="N174" s="22"/>
      <x:c r="O174" s="20"/>
      <x:c r="P174" s="20"/>
      <x:c r="Q174" s="20"/>
      <x:c r="R174" s="20"/>
      <x:c r="S174" s="20"/>
      <x:c r="T174" s="24"/>
      <x:c r="U174" s="22"/>
      <x:c r="V174" s="22"/>
      <x:c r="W174" s="22"/>
    </x:row>
    <x:row r="175">
      <x:c r="M175" s="22"/>
      <x:c r="N175" s="22"/>
      <x:c r="O175" s="20"/>
      <x:c r="P175" s="20"/>
      <x:c r="Q175" s="20"/>
      <x:c r="R175" s="20"/>
      <x:c r="S175" s="20"/>
      <x:c r="T175" s="24"/>
      <x:c r="U175" s="22"/>
      <x:c r="V175" s="22"/>
      <x:c r="W175" s="22"/>
    </x:row>
    <x:row r="176">
      <x:c r="M176" s="22"/>
      <x:c r="N176" s="22"/>
      <x:c r="O176" s="20"/>
      <x:c r="P176" s="20"/>
      <x:c r="Q176" s="20"/>
      <x:c r="R176" s="20"/>
      <x:c r="S176" s="20"/>
      <x:c r="T176" s="24"/>
      <x:c r="U176" s="22"/>
      <x:c r="V176" s="22"/>
      <x:c r="W176" s="22"/>
    </x:row>
    <x:row r="177">
      <x:c r="M177" s="22"/>
      <x:c r="N177" s="22"/>
      <x:c r="O177" s="20"/>
      <x:c r="P177" s="20"/>
      <x:c r="Q177" s="20"/>
      <x:c r="R177" s="20"/>
      <x:c r="S177" s="20"/>
      <x:c r="T177" s="24"/>
      <x:c r="U177" s="22"/>
      <x:c r="V177" s="22"/>
      <x:c r="W177" s="22"/>
    </x:row>
    <x:row r="178">
      <x:c r="M178" s="22"/>
      <x:c r="N178" s="22"/>
      <x:c r="O178" s="20"/>
      <x:c r="P178" s="20"/>
      <x:c r="Q178" s="20"/>
      <x:c r="R178" s="20"/>
      <x:c r="S178" s="20"/>
      <x:c r="T178" s="24"/>
      <x:c r="U178" s="22"/>
      <x:c r="V178" s="22"/>
      <x:c r="W178" s="22"/>
    </x:row>
    <x:row r="179">
      <x:c r="M179" s="22"/>
      <x:c r="N179" s="22"/>
      <x:c r="O179" s="20"/>
      <x:c r="P179" s="20"/>
      <x:c r="Q179" s="20"/>
      <x:c r="R179" s="20"/>
      <x:c r="S179" s="20"/>
      <x:c r="T179" s="24"/>
      <x:c r="U179" s="22"/>
      <x:c r="V179" s="22"/>
      <x:c r="W179" s="22"/>
    </x:row>
    <x:row r="180">
      <x:c r="M180" s="22"/>
      <x:c r="N180" s="22"/>
      <x:c r="O180" s="20"/>
      <x:c r="P180" s="20"/>
      <x:c r="Q180" s="20"/>
      <x:c r="R180" s="20"/>
      <x:c r="S180" s="20"/>
      <x:c r="T180" s="24"/>
      <x:c r="U180" s="22"/>
      <x:c r="V180" s="22"/>
      <x:c r="W180" s="22"/>
    </x:row>
    <x:row r="181">
      <x:c r="M181" s="22"/>
      <x:c r="N181" s="22"/>
      <x:c r="O181" s="20"/>
      <x:c r="P181" s="20"/>
      <x:c r="Q181" s="20"/>
      <x:c r="R181" s="20"/>
      <x:c r="S181" s="20"/>
      <x:c r="T181" s="24"/>
      <x:c r="U181" s="22"/>
      <x:c r="V181" s="22"/>
      <x:c r="W181" s="22"/>
    </x:row>
    <x:row r="182">
      <x:c r="M182" s="22"/>
      <x:c r="N182" s="22"/>
      <x:c r="O182" s="20"/>
      <x:c r="P182" s="20"/>
      <x:c r="Q182" s="20"/>
      <x:c r="R182" s="20"/>
      <x:c r="S182" s="20"/>
      <x:c r="T182" s="24"/>
      <x:c r="U182" s="22"/>
      <x:c r="V182" s="22"/>
      <x:c r="W182" s="22"/>
    </x:row>
    <x:row r="183">
      <x:c r="M183" s="22"/>
      <x:c r="N183" s="22"/>
      <x:c r="O183" s="20"/>
      <x:c r="P183" s="20"/>
      <x:c r="Q183" s="20"/>
      <x:c r="R183" s="20"/>
      <x:c r="S183" s="20"/>
      <x:c r="T183" s="24"/>
      <x:c r="U183" s="22"/>
      <x:c r="V183" s="22"/>
      <x:c r="W183" s="22"/>
    </x:row>
    <x:row r="184">
      <x:c r="M184" s="22"/>
      <x:c r="N184" s="22"/>
      <x:c r="O184" s="20"/>
      <x:c r="P184" s="20"/>
      <x:c r="Q184" s="20"/>
      <x:c r="R184" s="20"/>
      <x:c r="S184" s="20"/>
      <x:c r="T184" s="24"/>
      <x:c r="U184" s="22"/>
      <x:c r="V184" s="22"/>
      <x:c r="W184" s="22"/>
    </x:row>
    <x:row r="185">
      <x:c r="M185" s="22"/>
      <x:c r="N185" s="22"/>
      <x:c r="O185" s="20"/>
      <x:c r="P185" s="20"/>
      <x:c r="Q185" s="20"/>
      <x:c r="R185" s="20"/>
      <x:c r="S185" s="20"/>
      <x:c r="T185" s="24"/>
      <x:c r="U185" s="22"/>
      <x:c r="V185" s="22"/>
      <x:c r="W185" s="22"/>
    </x:row>
    <x:row r="186">
      <x:c r="M186" s="22"/>
      <x:c r="N186" s="22"/>
      <x:c r="O186" s="20"/>
      <x:c r="P186" s="20"/>
      <x:c r="Q186" s="20"/>
      <x:c r="R186" s="20"/>
      <x:c r="S186" s="20"/>
      <x:c r="T186" s="24"/>
      <x:c r="U186" s="22"/>
      <x:c r="V186" s="22"/>
      <x:c r="W186" s="22"/>
    </x:row>
    <x:row r="187">
      <x:c r="M187" s="22"/>
      <x:c r="N187" s="22"/>
      <x:c r="O187" s="20"/>
      <x:c r="P187" s="20"/>
      <x:c r="Q187" s="20"/>
      <x:c r="R187" s="20"/>
      <x:c r="S187" s="20"/>
      <x:c r="T187" s="24"/>
      <x:c r="U187" s="22"/>
      <x:c r="V187" s="22"/>
      <x:c r="W187" s="22"/>
    </x:row>
    <x:row r="188">
      <x:c r="M188" s="22"/>
      <x:c r="N188" s="22"/>
      <x:c r="O188" s="20"/>
      <x:c r="P188" s="20"/>
      <x:c r="Q188" s="20"/>
      <x:c r="R188" s="20"/>
      <x:c r="S188" s="20"/>
      <x:c r="T188" s="24"/>
      <x:c r="U188" s="22"/>
      <x:c r="V188" s="22"/>
      <x:c r="W188" s="22"/>
    </x:row>
    <x:row r="189">
      <x:c r="M189" s="22"/>
      <x:c r="N189" s="22"/>
      <x:c r="O189" s="20"/>
      <x:c r="P189" s="20"/>
      <x:c r="Q189" s="20"/>
      <x:c r="R189" s="20"/>
      <x:c r="S189" s="20"/>
      <x:c r="T189" s="24"/>
      <x:c r="U189" s="22"/>
      <x:c r="V189" s="22"/>
      <x:c r="W189" s="22"/>
    </x:row>
    <x:row r="190">
      <x:c r="M190" s="22"/>
      <x:c r="N190" s="22"/>
      <x:c r="O190" s="20"/>
      <x:c r="P190" s="20"/>
      <x:c r="Q190" s="20"/>
      <x:c r="R190" s="20"/>
      <x:c r="S190" s="20"/>
      <x:c r="T190" s="24"/>
      <x:c r="U190" s="22"/>
      <x:c r="V190" s="22"/>
      <x:c r="W190" s="22"/>
    </x:row>
    <x:row r="191">
      <x:c r="M191" s="22"/>
      <x:c r="N191" s="22"/>
      <x:c r="O191" s="20"/>
      <x:c r="P191" s="20"/>
      <x:c r="Q191" s="20"/>
      <x:c r="R191" s="20"/>
      <x:c r="S191" s="20"/>
      <x:c r="T191" s="24"/>
      <x:c r="U191" s="22"/>
      <x:c r="V191" s="22"/>
      <x:c r="W191" s="22"/>
    </x:row>
    <x:row r="192">
      <x:c r="M192" s="22"/>
      <x:c r="N192" s="22"/>
      <x:c r="O192" s="20"/>
      <x:c r="P192" s="20"/>
      <x:c r="Q192" s="20"/>
      <x:c r="R192" s="20"/>
      <x:c r="S192" s="20"/>
      <x:c r="T192" s="24"/>
      <x:c r="U192" s="22"/>
      <x:c r="V192" s="22"/>
      <x:c r="W192" s="22"/>
    </x:row>
    <x:row r="193">
      <x:c r="M193" s="22"/>
      <x:c r="N193" s="22"/>
      <x:c r="O193" s="20"/>
      <x:c r="P193" s="20"/>
      <x:c r="Q193" s="20"/>
      <x:c r="R193" s="20"/>
      <x:c r="S193" s="20"/>
      <x:c r="T193" s="24"/>
      <x:c r="U193" s="22"/>
      <x:c r="V193" s="22"/>
      <x:c r="W193" s="22"/>
    </x:row>
    <x:row r="194">
      <x:c r="M194" s="22"/>
      <x:c r="N194" s="22"/>
      <x:c r="O194" s="20"/>
      <x:c r="P194" s="20"/>
      <x:c r="Q194" s="20"/>
      <x:c r="R194" s="20"/>
      <x:c r="S194" s="20"/>
      <x:c r="T194" s="24"/>
      <x:c r="U194" s="22"/>
      <x:c r="V194" s="22"/>
      <x:c r="W194" s="22"/>
    </x:row>
    <x:row r="195">
      <x:c r="M195" s="22"/>
      <x:c r="N195" s="22"/>
      <x:c r="O195" s="20"/>
      <x:c r="P195" s="20"/>
      <x:c r="Q195" s="20"/>
      <x:c r="R195" s="20"/>
      <x:c r="S195" s="20"/>
      <x:c r="T195" s="24"/>
      <x:c r="U195" s="22"/>
      <x:c r="V195" s="22"/>
      <x:c r="W195" s="22"/>
    </x:row>
    <x:row r="196">
      <x:c r="M196" s="22"/>
      <x:c r="N196" s="22"/>
      <x:c r="O196" s="20"/>
      <x:c r="P196" s="20"/>
      <x:c r="Q196" s="20"/>
      <x:c r="R196" s="20"/>
      <x:c r="S196" s="20"/>
      <x:c r="T196" s="24"/>
      <x:c r="U196" s="22"/>
      <x:c r="V196" s="22"/>
      <x:c r="W196" s="22"/>
    </x:row>
    <x:row r="197">
      <x:c r="M197" s="22"/>
      <x:c r="N197" s="22"/>
      <x:c r="O197" s="20"/>
      <x:c r="P197" s="20"/>
      <x:c r="Q197" s="20"/>
      <x:c r="R197" s="20"/>
      <x:c r="S197" s="20"/>
      <x:c r="T197" s="24"/>
      <x:c r="U197" s="22"/>
      <x:c r="V197" s="22"/>
      <x:c r="W197" s="22"/>
    </x:row>
    <x:row r="198">
      <x:c r="M198" s="22"/>
      <x:c r="N198" s="22"/>
      <x:c r="O198" s="20"/>
      <x:c r="P198" s="20"/>
      <x:c r="Q198" s="20"/>
      <x:c r="R198" s="20"/>
      <x:c r="S198" s="20"/>
      <x:c r="T198" s="24"/>
      <x:c r="U198" s="22"/>
      <x:c r="V198" s="22"/>
      <x:c r="W198" s="22"/>
    </x:row>
    <x:row r="199">
      <x:c r="M199" s="22"/>
      <x:c r="N199" s="22"/>
      <x:c r="O199" s="20"/>
      <x:c r="P199" s="20"/>
      <x:c r="Q199" s="20"/>
      <x:c r="R199" s="20"/>
      <x:c r="S199" s="20"/>
      <x:c r="T199" s="24"/>
      <x:c r="U199" s="22"/>
      <x:c r="V199" s="22"/>
      <x:c r="W199" s="22"/>
    </x:row>
    <x:row r="200">
      <x:c r="M200" s="22"/>
      <x:c r="N200" s="22"/>
      <x:c r="O200" s="20"/>
      <x:c r="P200" s="20"/>
      <x:c r="Q200" s="20"/>
      <x:c r="R200" s="20"/>
      <x:c r="S200" s="20"/>
      <x:c r="T200" s="24"/>
      <x:c r="U200" s="22"/>
      <x:c r="V200" s="22"/>
      <x:c r="W200" s="22"/>
    </x:row>
  </x:sheetData>
  <x:mergeCells>
    <x:mergeCell ref="A1:W1"/>
  </x:mergeCells>
  <x:dataValidations count="2">
    <x:dataValidation type="list" sqref="F4:F200">
      <x:formula1>Dropdowns!$D$2:$D$7</x:formula1>
    </x:dataValidation>
    <x:dataValidation type="list" sqref="K4:K200">
      <x:formula1>"Yes,No,TBD"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f4ad8c00b245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44" t="str">
        <x:v>Optimization Candidates - Cloud + DBA Review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</x:row>
    <x:row r="3" ht="32" customHeight="1">
      <x:c r="A3" s="6" t="str">
        <x:v>Candidate ID</x:v>
      </x:c>
      <x:c r="B3" s="6" t="str">
        <x:v>DB Identifier</x:v>
      </x:c>
      <x:c r="C3" s="6" t="str">
        <x:v>Optimization Type</x:v>
      </x:c>
      <x:c r="D3" s="6" t="str">
        <x:v>Current Configuration</x:v>
      </x:c>
      <x:c r="E3" s="6" t="str">
        <x:v>Proposed Configuration</x:v>
      </x:c>
      <x:c r="F3" s="6" t="str">
        <x:v>Monthly Current Cost</x:v>
      </x:c>
      <x:c r="G3" s="6" t="str">
        <x:v>Estimated Monthly Savings</x:v>
      </x:c>
      <x:c r="H3" s="6" t="str">
        <x:v>Annualized Savings</x:v>
      </x:c>
      <x:c r="I3" s="6" t="str">
        <x:v>Risk</x:v>
      </x:c>
      <x:c r="J3" s="6" t="str">
        <x:v>Cloud Evidence Needed</x:v>
      </x:c>
      <x:c r="K3" s="6" t="str">
        <x:v>DBA Validation Needed</x:v>
      </x:c>
      <x:c r="L3" s="6" t="str">
        <x:v>App Team Dependency</x:v>
      </x:c>
      <x:c r="M3" s="6" t="str">
        <x:v>Decision</x:v>
      </x:c>
      <x:c r="N3" s="6" t="str">
        <x:v>Owner</x:v>
      </x:c>
      <x:c r="O3" s="6" t="str">
        <x:v>Status</x:v>
      </x:c>
      <x:c r="P3" s="6" t="str">
        <x:v>Target Date</x:v>
      </x:c>
      <x:c r="Q3" s="6" t="str">
        <x:v>Implementation Window</x:v>
      </x:c>
      <x:c r="R3" s="6" t="str">
        <x:v>Rollback Plan</x:v>
      </x:c>
      <x:c r="S3" s="6" t="str">
        <x:v>Post-Change Validation</x:v>
      </x:c>
      <x:c r="T3" s="6" t="str">
        <x:v>Notes</x:v>
      </x:c>
      <x:c r="U3" s="6" t="str">
        <x:v>Last Updated</x:v>
      </x:c>
    </x:row>
    <x:row r="4">
      <x:c r="A4" t="str">
        <x:v>OPT-001</x:v>
      </x:c>
      <x:c r="B4" t="str">
        <x:v>prod-orders-db</x:v>
      </x:c>
      <x:c r="C4" t="str">
        <x:v>RI Coverage</x:v>
      </x:c>
      <x:c r="D4" t="str">
        <x:v>On-Demand db.m8g.xlarge</x:v>
      </x:c>
      <x:c r="E4" t="str">
        <x:v>1-year RDS RI after DBA confirms steady state</x:v>
      </x:c>
      <x:c r="F4" s="20" t="n">
        <x:v>1800</x:v>
      </x:c>
      <x:c r="G4" s="20" t="n">
        <x:v>450</x:v>
      </x:c>
      <x:c r="H4" s="20" t="n">
        <x:f>G4*12</x:f>
        <x:v>5400</x:v>
      </x:c>
      <x:c r="I4" t="str">
        <x:v>Low</x:v>
      </x:c>
      <x:c r="J4" t="str">
        <x:v>Cost Explorer/RDS usage 12 months</x:v>
      </x:c>
      <x:c r="K4" t="str">
        <x:v>Confirm no migration or resize planned</x:v>
      </x:c>
      <x:c r="L4" t="str">
        <x:v>Finance/procurement</x:v>
      </x:c>
      <x:c r="M4" t="str">
        <x:v>TBD</x:v>
      </x:c>
      <x:c r="N4" t="str">
        <x:v>Cloud Team</x:v>
      </x:c>
      <x:c r="O4" t="str">
        <x:v>Not Started</x:v>
      </x:c>
      <x:c r="P4" s="26" t="str"/>
      <x:c r="Q4" t="str">
        <x:v>N/A</x:v>
      </x:c>
      <x:c r="R4" t="str">
        <x:v>N/A</x:v>
      </x:c>
      <x:c r="S4" t="str">
        <x:v>Confirm RI utilization after purchase</x:v>
      </x:c>
      <x:c r="T4" t="str"/>
      <x:c r="U4" s="26" t="n">
        <x:f>TODAY()</x:f>
        <x:v>46149</x:v>
      </x:c>
    </x:row>
    <x:row r="5">
      <x:c r="A5" t="str">
        <x:v>OPT-002</x:v>
      </x:c>
      <x:c r="B5" t="str">
        <x:v>qa-reporting-db</x:v>
      </x:c>
      <x:c r="C5" t="str">
        <x:v>Non-prod scheduling</x:v>
      </x:c>
      <x:c r="D5" t="str">
        <x:v>Runs 24/7</x:v>
      </x:c>
      <x:c r="E5" t="str">
        <x:v>Stop after business hours using tag schedule</x:v>
      </x:c>
      <x:c r="F5" s="20" t="n">
        <x:v>420</x:v>
      </x:c>
      <x:c r="G5" s="20" t="n">
        <x:v>250</x:v>
      </x:c>
      <x:c r="H5" s="20" t="n">
        <x:f>G5*12</x:f>
        <x:v>3000</x:v>
      </x:c>
      <x:c r="I5" t="str">
        <x:v>Medium</x:v>
      </x:c>
      <x:c r="J5" t="str">
        <x:v>CloudWatch usage outside hours</x:v>
      </x:c>
      <x:c r="K5" t="str">
        <x:v>Confirm QA availability window</x:v>
      </x:c>
      <x:c r="L5" t="str">
        <x:v>QA owner</x:v>
      </x:c>
      <x:c r="M5" t="str">
        <x:v>TBD</x:v>
      </x:c>
      <x:c r="N5" t="str">
        <x:v>Cloud Team + DBA</x:v>
      </x:c>
      <x:c r="O5" t="str">
        <x:v>Not Started</x:v>
      </x:c>
      <x:c r="P5" s="26" t="str"/>
      <x:c r="Q5" t="str">
        <x:v>After-hours change</x:v>
      </x:c>
      <x:c r="R5" t="str">
        <x:v>Start DB and disable schedule</x:v>
      </x:c>
      <x:c r="S5" t="str">
        <x:v>App smoke test</x:v>
      </x:c>
      <x:c r="T5" t="str"/>
      <x:c r="U5" s="26" t="n">
        <x:f>TODAY()</x:f>
        <x:v>46149</x:v>
      </x:c>
    </x:row>
    <x:row r="6">
      <x:c r="A6" t="str">
        <x:v>OPT-003</x:v>
      </x:c>
      <x:c r="B6" t="str">
        <x:v>stage-customer-db</x:v>
      </x:c>
      <x:c r="C6" t="str">
        <x:v>Replica review</x:v>
      </x:c>
      <x:c r="D6" t="str">
        <x:v>1 read replica</x:v>
      </x:c>
      <x:c r="E6" t="str">
        <x:v>Remove or downsize replica if not used</x:v>
      </x:c>
      <x:c r="F6" s="20" t="n">
        <x:v>950</x:v>
      </x:c>
      <x:c r="G6" s="20" t="n">
        <x:v>300</x:v>
      </x:c>
      <x:c r="H6" s="20" t="n">
        <x:f>G6*12</x:f>
        <x:v>3600</x:v>
      </x:c>
      <x:c r="I6" t="str">
        <x:v>Medium</x:v>
      </x:c>
      <x:c r="J6" t="str">
        <x:v>Replica cost and utilization</x:v>
      </x:c>
      <x:c r="K6" t="str">
        <x:v>Confirm if app/reporting uses replica</x:v>
      </x:c>
      <x:c r="L6" t="str">
        <x:v>App owner</x:v>
      </x:c>
      <x:c r="M6" t="str">
        <x:v>TBD</x:v>
      </x:c>
      <x:c r="N6" t="str">
        <x:v>DBA Team</x:v>
      </x:c>
      <x:c r="O6" t="str">
        <x:v>Pending DBA</x:v>
      </x:c>
      <x:c r="P6" s="26" t="str"/>
      <x:c r="Q6" t="str">
        <x:v>Maintenance window</x:v>
      </x:c>
      <x:c r="R6" t="str">
        <x:v>Restore from snapshot or recreate replica</x:v>
      </x:c>
      <x:c r="S6" t="str">
        <x:v>DB health + app read test</x:v>
      </x:c>
      <x:c r="T6" t="str"/>
      <x:c r="U6" s="26" t="n">
        <x:f>TODAY()</x:f>
        <x:v>46149</x:v>
      </x:c>
    </x:row>
    <x:row r="7">
      <x:c r="F7" s="20"/>
      <x:c r="G7" s="20"/>
      <x:c r="H7" s="20" t="n">
        <x:f>G7*12</x:f>
        <x:v>0</x:v>
      </x:c>
      <x:c r="P7" s="26"/>
      <x:c r="U7" s="26" t="n">
        <x:f>TODAY()</x:f>
        <x:v>46149</x:v>
      </x:c>
    </x:row>
    <x:row r="8">
      <x:c r="F8" s="20"/>
      <x:c r="G8" s="20"/>
      <x:c r="H8" s="20" t="n">
        <x:f>G8*12</x:f>
        <x:v>0</x:v>
      </x:c>
      <x:c r="P8" s="26"/>
      <x:c r="U8" s="26" t="n">
        <x:f>TODAY()</x:f>
        <x:v>46149</x:v>
      </x:c>
    </x:row>
    <x:row r="9">
      <x:c r="F9" s="20"/>
      <x:c r="G9" s="20"/>
      <x:c r="H9" s="20" t="n">
        <x:f>G9*12</x:f>
        <x:v>0</x:v>
      </x:c>
      <x:c r="P9" s="26"/>
      <x:c r="U9" s="26" t="n">
        <x:f>TODAY()</x:f>
        <x:v>46149</x:v>
      </x:c>
    </x:row>
    <x:row r="10">
      <x:c r="F10" s="20"/>
      <x:c r="G10" s="20"/>
      <x:c r="H10" s="20" t="n">
        <x:f>G10*12</x:f>
        <x:v>0</x:v>
      </x:c>
      <x:c r="P10" s="26"/>
      <x:c r="U10" s="26" t="n">
        <x:f>TODAY()</x:f>
        <x:v>46149</x:v>
      </x:c>
    </x:row>
    <x:row r="11">
      <x:c r="F11" s="20"/>
      <x:c r="G11" s="20"/>
      <x:c r="H11" s="20" t="n">
        <x:f>G11*12</x:f>
        <x:v>0</x:v>
      </x:c>
      <x:c r="P11" s="26"/>
      <x:c r="U11" s="26" t="n">
        <x:f>TODAY()</x:f>
        <x:v>46149</x:v>
      </x:c>
    </x:row>
    <x:row r="12">
      <x:c r="F12" s="20"/>
      <x:c r="G12" s="20"/>
      <x:c r="H12" s="20" t="n">
        <x:f>G12*12</x:f>
        <x:v>0</x:v>
      </x:c>
      <x:c r="P12" s="26"/>
      <x:c r="U12" s="26" t="n">
        <x:f>TODAY()</x:f>
        <x:v>46149</x:v>
      </x:c>
    </x:row>
    <x:row r="13">
      <x:c r="F13" s="20"/>
      <x:c r="G13" s="20"/>
      <x:c r="H13" s="20" t="n">
        <x:f>G13*12</x:f>
        <x:v>0</x:v>
      </x:c>
      <x:c r="P13" s="26"/>
      <x:c r="U13" s="26" t="n">
        <x:f>TODAY()</x:f>
        <x:v>46149</x:v>
      </x:c>
    </x:row>
    <x:row r="14">
      <x:c r="F14" s="20"/>
      <x:c r="G14" s="20"/>
      <x:c r="H14" s="20" t="n">
        <x:f>G14*12</x:f>
        <x:v>0</x:v>
      </x:c>
      <x:c r="P14" s="26"/>
      <x:c r="U14" s="26" t="n">
        <x:f>TODAY()</x:f>
        <x:v>46149</x:v>
      </x:c>
    </x:row>
    <x:row r="15">
      <x:c r="F15" s="20"/>
      <x:c r="G15" s="20"/>
      <x:c r="H15" s="20" t="n">
        <x:f>G15*12</x:f>
        <x:v>0</x:v>
      </x:c>
      <x:c r="P15" s="26"/>
      <x:c r="U15" s="26" t="n">
        <x:f>TODAY()</x:f>
        <x:v>46149</x:v>
      </x:c>
    </x:row>
    <x:row r="16">
      <x:c r="F16" s="20"/>
      <x:c r="G16" s="20"/>
      <x:c r="H16" s="20" t="n">
        <x:f>G16*12</x:f>
        <x:v>0</x:v>
      </x:c>
      <x:c r="P16" s="26"/>
      <x:c r="U16" s="26" t="n">
        <x:f>TODAY()</x:f>
        <x:v>46149</x:v>
      </x:c>
    </x:row>
    <x:row r="17">
      <x:c r="F17" s="20"/>
      <x:c r="G17" s="20"/>
      <x:c r="H17" s="20" t="n">
        <x:f>G17*12</x:f>
        <x:v>0</x:v>
      </x:c>
      <x:c r="P17" s="26"/>
      <x:c r="U17" s="26" t="n">
        <x:f>TODAY()</x:f>
        <x:v>46149</x:v>
      </x:c>
    </x:row>
    <x:row r="18">
      <x:c r="F18" s="20"/>
      <x:c r="G18" s="20"/>
      <x:c r="H18" s="20" t="n">
        <x:f>G18*12</x:f>
        <x:v>0</x:v>
      </x:c>
      <x:c r="P18" s="26"/>
      <x:c r="U18" s="26" t="n">
        <x:f>TODAY()</x:f>
        <x:v>46149</x:v>
      </x:c>
    </x:row>
    <x:row r="19">
      <x:c r="F19" s="20"/>
      <x:c r="G19" s="20"/>
      <x:c r="H19" s="20" t="n">
        <x:f>G19*12</x:f>
        <x:v>0</x:v>
      </x:c>
      <x:c r="P19" s="26"/>
      <x:c r="U19" s="26" t="n">
        <x:f>TODAY()</x:f>
        <x:v>46149</x:v>
      </x:c>
    </x:row>
    <x:row r="20">
      <x:c r="F20" s="20"/>
      <x:c r="G20" s="20"/>
      <x:c r="H20" s="20" t="n">
        <x:f>G20*12</x:f>
        <x:v>0</x:v>
      </x:c>
      <x:c r="P20" s="26"/>
      <x:c r="U20" s="26" t="n">
        <x:f>TODAY()</x:f>
        <x:v>46149</x:v>
      </x:c>
    </x:row>
    <x:row r="21">
      <x:c r="F21" s="20"/>
      <x:c r="G21" s="20"/>
      <x:c r="H21" s="20" t="n">
        <x:f>G21*12</x:f>
        <x:v>0</x:v>
      </x:c>
      <x:c r="P21" s="26"/>
      <x:c r="U21" s="26" t="n">
        <x:f>TODAY()</x:f>
        <x:v>46149</x:v>
      </x:c>
    </x:row>
    <x:row r="22">
      <x:c r="F22" s="20"/>
      <x:c r="G22" s="20"/>
      <x:c r="H22" s="20" t="n">
        <x:f>G22*12</x:f>
        <x:v>0</x:v>
      </x:c>
      <x:c r="P22" s="26"/>
      <x:c r="U22" s="26" t="n">
        <x:f>TODAY()</x:f>
        <x:v>46149</x:v>
      </x:c>
    </x:row>
    <x:row r="23">
      <x:c r="F23" s="20"/>
      <x:c r="G23" s="20"/>
      <x:c r="H23" s="20" t="n">
        <x:f>G23*12</x:f>
        <x:v>0</x:v>
      </x:c>
      <x:c r="P23" s="26"/>
      <x:c r="U23" s="26" t="n">
        <x:f>TODAY()</x:f>
        <x:v>46149</x:v>
      </x:c>
    </x:row>
    <x:row r="24">
      <x:c r="F24" s="20"/>
      <x:c r="G24" s="20"/>
      <x:c r="H24" s="20" t="n">
        <x:f>G24*12</x:f>
        <x:v>0</x:v>
      </x:c>
      <x:c r="P24" s="26"/>
      <x:c r="U24" s="26" t="n">
        <x:f>TODAY()</x:f>
        <x:v>46149</x:v>
      </x:c>
    </x:row>
    <x:row r="25">
      <x:c r="F25" s="20"/>
      <x:c r="G25" s="20"/>
      <x:c r="H25" s="20" t="n">
        <x:f>G25*12</x:f>
        <x:v>0</x:v>
      </x:c>
      <x:c r="P25" s="26"/>
      <x:c r="U25" s="26" t="n">
        <x:f>TODAY()</x:f>
        <x:v>46149</x:v>
      </x:c>
    </x:row>
    <x:row r="26">
      <x:c r="F26" s="20"/>
      <x:c r="G26" s="20"/>
      <x:c r="H26" s="20" t="n">
        <x:f>G26*12</x:f>
        <x:v>0</x:v>
      </x:c>
      <x:c r="P26" s="26"/>
      <x:c r="U26" s="26" t="n">
        <x:f>TODAY()</x:f>
        <x:v>46149</x:v>
      </x:c>
    </x:row>
    <x:row r="27">
      <x:c r="F27" s="20"/>
      <x:c r="G27" s="20"/>
      <x:c r="H27" s="20" t="n">
        <x:f>G27*12</x:f>
        <x:v>0</x:v>
      </x:c>
      <x:c r="P27" s="26"/>
      <x:c r="U27" s="26" t="n">
        <x:f>TODAY()</x:f>
        <x:v>46149</x:v>
      </x:c>
    </x:row>
    <x:row r="28">
      <x:c r="F28" s="20"/>
      <x:c r="G28" s="20"/>
      <x:c r="H28" s="20" t="n">
        <x:f>G28*12</x:f>
        <x:v>0</x:v>
      </x:c>
      <x:c r="P28" s="26"/>
      <x:c r="U28" s="26" t="n">
        <x:f>TODAY()</x:f>
        <x:v>46149</x:v>
      </x:c>
    </x:row>
    <x:row r="29">
      <x:c r="F29" s="20"/>
      <x:c r="G29" s="20"/>
      <x:c r="H29" s="20" t="n">
        <x:f>G29*12</x:f>
        <x:v>0</x:v>
      </x:c>
      <x:c r="P29" s="26"/>
      <x:c r="U29" s="26" t="n">
        <x:f>TODAY()</x:f>
        <x:v>46149</x:v>
      </x:c>
    </x:row>
    <x:row r="30">
      <x:c r="F30" s="20"/>
      <x:c r="G30" s="20"/>
      <x:c r="H30" s="20" t="n">
        <x:f>G30*12</x:f>
        <x:v>0</x:v>
      </x:c>
      <x:c r="P30" s="26"/>
      <x:c r="U30" s="26" t="n">
        <x:f>TODAY()</x:f>
        <x:v>46149</x:v>
      </x:c>
    </x:row>
    <x:row r="31">
      <x:c r="F31" s="20"/>
      <x:c r="G31" s="20"/>
      <x:c r="H31" s="20" t="n">
        <x:f>G31*12</x:f>
        <x:v>0</x:v>
      </x:c>
      <x:c r="P31" s="26"/>
      <x:c r="U31" s="26" t="n">
        <x:f>TODAY()</x:f>
        <x:v>46149</x:v>
      </x:c>
    </x:row>
    <x:row r="32">
      <x:c r="F32" s="20"/>
      <x:c r="G32" s="20"/>
      <x:c r="H32" s="20" t="n">
        <x:f>G32*12</x:f>
        <x:v>0</x:v>
      </x:c>
      <x:c r="P32" s="26"/>
      <x:c r="U32" s="26" t="n">
        <x:f>TODAY()</x:f>
        <x:v>46149</x:v>
      </x:c>
    </x:row>
    <x:row r="33">
      <x:c r="F33" s="20"/>
      <x:c r="G33" s="20"/>
      <x:c r="H33" s="20" t="n">
        <x:f>G33*12</x:f>
        <x:v>0</x:v>
      </x:c>
      <x:c r="P33" s="26"/>
      <x:c r="U33" s="26" t="n">
        <x:f>TODAY()</x:f>
        <x:v>46149</x:v>
      </x:c>
    </x:row>
    <x:row r="34">
      <x:c r="F34" s="20"/>
      <x:c r="G34" s="20"/>
      <x:c r="H34" s="20" t="n">
        <x:f>G34*12</x:f>
        <x:v>0</x:v>
      </x:c>
      <x:c r="P34" s="26"/>
      <x:c r="U34" s="26" t="n">
        <x:f>TODAY()</x:f>
        <x:v>46149</x:v>
      </x:c>
    </x:row>
    <x:row r="35">
      <x:c r="F35" s="20"/>
      <x:c r="G35" s="20"/>
      <x:c r="H35" s="20" t="n">
        <x:f>G35*12</x:f>
        <x:v>0</x:v>
      </x:c>
      <x:c r="P35" s="26"/>
      <x:c r="U35" s="26" t="n">
        <x:f>TODAY()</x:f>
        <x:v>46149</x:v>
      </x:c>
    </x:row>
    <x:row r="36">
      <x:c r="F36" s="20"/>
      <x:c r="G36" s="20"/>
      <x:c r="H36" s="20" t="n">
        <x:f>G36*12</x:f>
        <x:v>0</x:v>
      </x:c>
      <x:c r="P36" s="26"/>
      <x:c r="U36" s="26" t="n">
        <x:f>TODAY()</x:f>
        <x:v>46149</x:v>
      </x:c>
    </x:row>
    <x:row r="37">
      <x:c r="F37" s="20"/>
      <x:c r="G37" s="20"/>
      <x:c r="H37" s="20" t="n">
        <x:f>G37*12</x:f>
        <x:v>0</x:v>
      </x:c>
      <x:c r="P37" s="26"/>
      <x:c r="U37" s="26" t="n">
        <x:f>TODAY()</x:f>
        <x:v>46149</x:v>
      </x:c>
    </x:row>
    <x:row r="38">
      <x:c r="F38" s="20"/>
      <x:c r="G38" s="20"/>
      <x:c r="H38" s="20" t="n">
        <x:f>G38*12</x:f>
        <x:v>0</x:v>
      </x:c>
      <x:c r="P38" s="26"/>
      <x:c r="U38" s="26" t="n">
        <x:f>TODAY()</x:f>
        <x:v>46149</x:v>
      </x:c>
    </x:row>
    <x:row r="39">
      <x:c r="F39" s="20"/>
      <x:c r="G39" s="20"/>
      <x:c r="H39" s="20" t="n">
        <x:f>G39*12</x:f>
        <x:v>0</x:v>
      </x:c>
      <x:c r="P39" s="26"/>
      <x:c r="U39" s="26" t="n">
        <x:f>TODAY()</x:f>
        <x:v>46149</x:v>
      </x:c>
    </x:row>
    <x:row r="40">
      <x:c r="F40" s="20"/>
      <x:c r="G40" s="20"/>
      <x:c r="H40" s="20" t="n">
        <x:f>G40*12</x:f>
        <x:v>0</x:v>
      </x:c>
      <x:c r="P40" s="26"/>
      <x:c r="U40" s="26" t="n">
        <x:f>TODAY()</x:f>
        <x:v>46149</x:v>
      </x:c>
    </x:row>
    <x:row r="41">
      <x:c r="F41" s="20"/>
      <x:c r="G41" s="20"/>
      <x:c r="H41" s="20" t="n">
        <x:f>G41*12</x:f>
        <x:v>0</x:v>
      </x:c>
      <x:c r="P41" s="26"/>
      <x:c r="U41" s="26" t="n">
        <x:f>TODAY()</x:f>
        <x:v>46149</x:v>
      </x:c>
    </x:row>
    <x:row r="42">
      <x:c r="F42" s="20"/>
      <x:c r="G42" s="20"/>
      <x:c r="H42" s="20" t="n">
        <x:f>G42*12</x:f>
        <x:v>0</x:v>
      </x:c>
      <x:c r="P42" s="26"/>
      <x:c r="U42" s="26" t="n">
        <x:f>TODAY()</x:f>
        <x:v>46149</x:v>
      </x:c>
    </x:row>
    <x:row r="43">
      <x:c r="F43" s="20"/>
      <x:c r="G43" s="20"/>
      <x:c r="H43" s="20" t="n">
        <x:f>G43*12</x:f>
        <x:v>0</x:v>
      </x:c>
      <x:c r="P43" s="26"/>
      <x:c r="U43" s="26" t="n">
        <x:f>TODAY()</x:f>
        <x:v>46149</x:v>
      </x:c>
    </x:row>
    <x:row r="44">
      <x:c r="F44" s="20"/>
      <x:c r="G44" s="20"/>
      <x:c r="H44" s="20" t="n">
        <x:f>G44*12</x:f>
        <x:v>0</x:v>
      </x:c>
      <x:c r="P44" s="26"/>
      <x:c r="U44" s="26" t="n">
        <x:f>TODAY()</x:f>
        <x:v>46149</x:v>
      </x:c>
    </x:row>
    <x:row r="45">
      <x:c r="F45" s="20"/>
      <x:c r="G45" s="20"/>
      <x:c r="H45" s="20" t="n">
        <x:f>G45*12</x:f>
        <x:v>0</x:v>
      </x:c>
      <x:c r="P45" s="26"/>
      <x:c r="U45" s="26" t="n">
        <x:f>TODAY()</x:f>
        <x:v>46149</x:v>
      </x:c>
    </x:row>
    <x:row r="46">
      <x:c r="F46" s="20"/>
      <x:c r="G46" s="20"/>
      <x:c r="H46" s="20" t="n">
        <x:f>G46*12</x:f>
        <x:v>0</x:v>
      </x:c>
      <x:c r="P46" s="26"/>
      <x:c r="U46" s="26" t="n">
        <x:f>TODAY()</x:f>
        <x:v>46149</x:v>
      </x:c>
    </x:row>
    <x:row r="47">
      <x:c r="F47" s="20"/>
      <x:c r="G47" s="20"/>
      <x:c r="H47" s="20" t="n">
        <x:f>G47*12</x:f>
        <x:v>0</x:v>
      </x:c>
      <x:c r="P47" s="26"/>
      <x:c r="U47" s="26" t="n">
        <x:f>TODAY()</x:f>
        <x:v>46149</x:v>
      </x:c>
    </x:row>
    <x:row r="48">
      <x:c r="F48" s="20"/>
      <x:c r="G48" s="20"/>
      <x:c r="H48" s="20" t="n">
        <x:f>G48*12</x:f>
        <x:v>0</x:v>
      </x:c>
      <x:c r="P48" s="26"/>
      <x:c r="U48" s="26" t="n">
        <x:f>TODAY()</x:f>
        <x:v>46149</x:v>
      </x:c>
    </x:row>
    <x:row r="49">
      <x:c r="F49" s="20"/>
      <x:c r="G49" s="20"/>
      <x:c r="H49" s="20" t="n">
        <x:f>G49*12</x:f>
        <x:v>0</x:v>
      </x:c>
      <x:c r="P49" s="26"/>
      <x:c r="U49" s="26" t="n">
        <x:f>TODAY()</x:f>
        <x:v>46149</x:v>
      </x:c>
    </x:row>
    <x:row r="50">
      <x:c r="F50" s="20"/>
      <x:c r="G50" s="20"/>
      <x:c r="H50" s="20" t="n">
        <x:f>G50*12</x:f>
        <x:v>0</x:v>
      </x:c>
      <x:c r="P50" s="26"/>
      <x:c r="U50" s="26" t="n">
        <x:f>TODAY()</x:f>
        <x:v>46149</x:v>
      </x:c>
    </x:row>
    <x:row r="51">
      <x:c r="F51" s="20"/>
      <x:c r="G51" s="20"/>
      <x:c r="H51" s="20" t="n">
        <x:f>G51*12</x:f>
        <x:v>0</x:v>
      </x:c>
      <x:c r="P51" s="26"/>
      <x:c r="U51" s="26" t="n">
        <x:f>TODAY()</x:f>
        <x:v>46149</x:v>
      </x:c>
    </x:row>
    <x:row r="52">
      <x:c r="F52" s="20"/>
      <x:c r="G52" s="20"/>
      <x:c r="H52" s="20" t="n">
        <x:f>G52*12</x:f>
        <x:v>0</x:v>
      </x:c>
      <x:c r="P52" s="26"/>
      <x:c r="U52" s="26" t="n">
        <x:f>TODAY()</x:f>
        <x:v>46149</x:v>
      </x:c>
    </x:row>
    <x:row r="53">
      <x:c r="F53" s="20"/>
      <x:c r="G53" s="20"/>
      <x:c r="H53" s="20" t="n">
        <x:f>G53*12</x:f>
        <x:v>0</x:v>
      </x:c>
      <x:c r="P53" s="26"/>
      <x:c r="U53" s="26" t="n">
        <x:f>TODAY()</x:f>
        <x:v>46149</x:v>
      </x:c>
    </x:row>
    <x:row r="54">
      <x:c r="F54" s="20"/>
      <x:c r="G54" s="20"/>
      <x:c r="H54" s="20" t="n">
        <x:f>G54*12</x:f>
        <x:v>0</x:v>
      </x:c>
      <x:c r="P54" s="26"/>
      <x:c r="U54" s="26" t="n">
        <x:f>TODAY()</x:f>
        <x:v>46149</x:v>
      </x:c>
    </x:row>
    <x:row r="55">
      <x:c r="F55" s="20"/>
      <x:c r="G55" s="20"/>
      <x:c r="H55" s="20" t="n">
        <x:f>G55*12</x:f>
        <x:v>0</x:v>
      </x:c>
      <x:c r="P55" s="26"/>
      <x:c r="U55" s="26" t="n">
        <x:f>TODAY()</x:f>
        <x:v>46149</x:v>
      </x:c>
    </x:row>
    <x:row r="56">
      <x:c r="F56" s="20"/>
      <x:c r="G56" s="20"/>
      <x:c r="H56" s="20" t="n">
        <x:f>G56*12</x:f>
        <x:v>0</x:v>
      </x:c>
      <x:c r="P56" s="26"/>
      <x:c r="U56" s="26" t="n">
        <x:f>TODAY()</x:f>
        <x:v>46149</x:v>
      </x:c>
    </x:row>
    <x:row r="57">
      <x:c r="F57" s="20"/>
      <x:c r="G57" s="20"/>
      <x:c r="H57" s="20" t="n">
        <x:f>G57*12</x:f>
        <x:v>0</x:v>
      </x:c>
      <x:c r="P57" s="26"/>
      <x:c r="U57" s="26" t="n">
        <x:f>TODAY()</x:f>
        <x:v>46149</x:v>
      </x:c>
    </x:row>
    <x:row r="58">
      <x:c r="F58" s="20"/>
      <x:c r="G58" s="20"/>
      <x:c r="H58" s="20" t="n">
        <x:f>G58*12</x:f>
        <x:v>0</x:v>
      </x:c>
      <x:c r="P58" s="26"/>
      <x:c r="U58" s="26" t="n">
        <x:f>TODAY()</x:f>
        <x:v>46149</x:v>
      </x:c>
    </x:row>
    <x:row r="59">
      <x:c r="F59" s="20"/>
      <x:c r="G59" s="20"/>
      <x:c r="H59" s="20" t="n">
        <x:f>G59*12</x:f>
        <x:v>0</x:v>
      </x:c>
      <x:c r="P59" s="26"/>
      <x:c r="U59" s="26" t="n">
        <x:f>TODAY()</x:f>
        <x:v>46149</x:v>
      </x:c>
    </x:row>
    <x:row r="60">
      <x:c r="F60" s="20"/>
      <x:c r="G60" s="20"/>
      <x:c r="H60" s="20" t="n">
        <x:f>G60*12</x:f>
        <x:v>0</x:v>
      </x:c>
      <x:c r="P60" s="26"/>
      <x:c r="U60" s="26" t="n">
        <x:f>TODAY()</x:f>
        <x:v>46149</x:v>
      </x:c>
    </x:row>
    <x:row r="61">
      <x:c r="F61" s="20"/>
      <x:c r="G61" s="20"/>
      <x:c r="H61" s="20" t="n">
        <x:f>G61*12</x:f>
        <x:v>0</x:v>
      </x:c>
      <x:c r="P61" s="26"/>
      <x:c r="U61" s="26" t="n">
        <x:f>TODAY()</x:f>
        <x:v>46149</x:v>
      </x:c>
    </x:row>
    <x:row r="62">
      <x:c r="F62" s="20"/>
      <x:c r="G62" s="20"/>
      <x:c r="H62" s="20" t="n">
        <x:f>G62*12</x:f>
        <x:v>0</x:v>
      </x:c>
      <x:c r="P62" s="26"/>
      <x:c r="U62" s="26" t="n">
        <x:f>TODAY()</x:f>
        <x:v>46149</x:v>
      </x:c>
    </x:row>
    <x:row r="63">
      <x:c r="F63" s="20"/>
      <x:c r="G63" s="20"/>
      <x:c r="H63" s="20" t="n">
        <x:f>G63*12</x:f>
        <x:v>0</x:v>
      </x:c>
      <x:c r="P63" s="26"/>
      <x:c r="U63" s="26" t="n">
        <x:f>TODAY()</x:f>
        <x:v>46149</x:v>
      </x:c>
    </x:row>
    <x:row r="64">
      <x:c r="F64" s="20"/>
      <x:c r="G64" s="20"/>
      <x:c r="H64" s="20" t="n">
        <x:f>G64*12</x:f>
        <x:v>0</x:v>
      </x:c>
      <x:c r="P64" s="26"/>
      <x:c r="U64" s="26" t="n">
        <x:f>TODAY()</x:f>
        <x:v>46149</x:v>
      </x:c>
    </x:row>
    <x:row r="65">
      <x:c r="F65" s="20"/>
      <x:c r="G65" s="20"/>
      <x:c r="H65" s="20" t="n">
        <x:f>G65*12</x:f>
        <x:v>0</x:v>
      </x:c>
      <x:c r="P65" s="26"/>
      <x:c r="U65" s="26" t="n">
        <x:f>TODAY()</x:f>
        <x:v>46149</x:v>
      </x:c>
    </x:row>
    <x:row r="66">
      <x:c r="F66" s="20"/>
      <x:c r="G66" s="20"/>
      <x:c r="H66" s="20" t="n">
        <x:f>G66*12</x:f>
        <x:v>0</x:v>
      </x:c>
      <x:c r="P66" s="26"/>
      <x:c r="U66" s="26" t="n">
        <x:f>TODAY()</x:f>
        <x:v>46149</x:v>
      </x:c>
    </x:row>
    <x:row r="67">
      <x:c r="F67" s="20"/>
      <x:c r="G67" s="20"/>
      <x:c r="H67" s="20" t="n">
        <x:f>G67*12</x:f>
        <x:v>0</x:v>
      </x:c>
      <x:c r="P67" s="26"/>
      <x:c r="U67" s="26" t="n">
        <x:f>TODAY()</x:f>
        <x:v>46149</x:v>
      </x:c>
    </x:row>
    <x:row r="68">
      <x:c r="F68" s="20"/>
      <x:c r="G68" s="20"/>
      <x:c r="H68" s="20" t="n">
        <x:f>G68*12</x:f>
        <x:v>0</x:v>
      </x:c>
      <x:c r="P68" s="26"/>
      <x:c r="U68" s="26" t="n">
        <x:f>TODAY()</x:f>
        <x:v>46149</x:v>
      </x:c>
    </x:row>
    <x:row r="69">
      <x:c r="F69" s="20"/>
      <x:c r="G69" s="20"/>
      <x:c r="H69" s="20" t="n">
        <x:f>G69*12</x:f>
        <x:v>0</x:v>
      </x:c>
      <x:c r="P69" s="26"/>
      <x:c r="U69" s="26" t="n">
        <x:f>TODAY()</x:f>
        <x:v>46149</x:v>
      </x:c>
    </x:row>
    <x:row r="70">
      <x:c r="F70" s="20"/>
      <x:c r="G70" s="20"/>
      <x:c r="H70" s="20" t="n">
        <x:f>G70*12</x:f>
        <x:v>0</x:v>
      </x:c>
      <x:c r="P70" s="26"/>
      <x:c r="U70" s="26" t="n">
        <x:f>TODAY()</x:f>
        <x:v>46149</x:v>
      </x:c>
    </x:row>
    <x:row r="71">
      <x:c r="F71" s="20"/>
      <x:c r="G71" s="20"/>
      <x:c r="H71" s="20" t="n">
        <x:f>G71*12</x:f>
        <x:v>0</x:v>
      </x:c>
      <x:c r="P71" s="26"/>
      <x:c r="U71" s="26" t="n">
        <x:f>TODAY()</x:f>
        <x:v>46149</x:v>
      </x:c>
    </x:row>
    <x:row r="72">
      <x:c r="F72" s="20"/>
      <x:c r="G72" s="20"/>
      <x:c r="H72" s="20" t="n">
        <x:f>G72*12</x:f>
        <x:v>0</x:v>
      </x:c>
      <x:c r="P72" s="26"/>
      <x:c r="U72" s="26" t="n">
        <x:f>TODAY()</x:f>
        <x:v>46149</x:v>
      </x:c>
    </x:row>
    <x:row r="73">
      <x:c r="F73" s="20"/>
      <x:c r="G73" s="20"/>
      <x:c r="H73" s="20" t="n">
        <x:f>G73*12</x:f>
        <x:v>0</x:v>
      </x:c>
      <x:c r="P73" s="26"/>
      <x:c r="U73" s="26" t="n">
        <x:f>TODAY()</x:f>
        <x:v>46149</x:v>
      </x:c>
    </x:row>
    <x:row r="74">
      <x:c r="F74" s="20"/>
      <x:c r="G74" s="20"/>
      <x:c r="H74" s="20" t="n">
        <x:f>G74*12</x:f>
        <x:v>0</x:v>
      </x:c>
      <x:c r="P74" s="26"/>
      <x:c r="U74" s="26" t="n">
        <x:f>TODAY()</x:f>
        <x:v>46149</x:v>
      </x:c>
    </x:row>
    <x:row r="75">
      <x:c r="F75" s="20"/>
      <x:c r="G75" s="20"/>
      <x:c r="H75" s="20" t="n">
        <x:f>G75*12</x:f>
        <x:v>0</x:v>
      </x:c>
      <x:c r="P75" s="26"/>
      <x:c r="U75" s="26" t="n">
        <x:f>TODAY()</x:f>
        <x:v>46149</x:v>
      </x:c>
    </x:row>
    <x:row r="76">
      <x:c r="F76" s="20"/>
      <x:c r="G76" s="20"/>
      <x:c r="H76" s="20" t="n">
        <x:f>G76*12</x:f>
        <x:v>0</x:v>
      </x:c>
      <x:c r="P76" s="26"/>
      <x:c r="U76" s="26" t="n">
        <x:f>TODAY()</x:f>
        <x:v>46149</x:v>
      </x:c>
    </x:row>
    <x:row r="77">
      <x:c r="F77" s="20"/>
      <x:c r="G77" s="20"/>
      <x:c r="H77" s="20" t="n">
        <x:f>G77*12</x:f>
        <x:v>0</x:v>
      </x:c>
      <x:c r="P77" s="26"/>
      <x:c r="U77" s="26" t="n">
        <x:f>TODAY()</x:f>
        <x:v>46149</x:v>
      </x:c>
    </x:row>
    <x:row r="78">
      <x:c r="F78" s="20"/>
      <x:c r="G78" s="20"/>
      <x:c r="H78" s="20" t="n">
        <x:f>G78*12</x:f>
        <x:v>0</x:v>
      </x:c>
      <x:c r="P78" s="26"/>
      <x:c r="U78" s="26" t="n">
        <x:f>TODAY()</x:f>
        <x:v>46149</x:v>
      </x:c>
    </x:row>
    <x:row r="79">
      <x:c r="F79" s="20"/>
      <x:c r="G79" s="20"/>
      <x:c r="H79" s="20" t="n">
        <x:f>G79*12</x:f>
        <x:v>0</x:v>
      </x:c>
      <x:c r="P79" s="26"/>
      <x:c r="U79" s="26" t="n">
        <x:f>TODAY()</x:f>
        <x:v>46149</x:v>
      </x:c>
    </x:row>
    <x:row r="80">
      <x:c r="F80" s="20"/>
      <x:c r="G80" s="20"/>
      <x:c r="H80" s="20" t="n">
        <x:f>G80*12</x:f>
        <x:v>0</x:v>
      </x:c>
      <x:c r="P80" s="26"/>
      <x:c r="U80" s="26" t="n">
        <x:f>TODAY()</x:f>
        <x:v>46149</x:v>
      </x:c>
    </x:row>
    <x:row r="81">
      <x:c r="F81" s="20"/>
      <x:c r="G81" s="20"/>
      <x:c r="H81" s="20" t="n">
        <x:f>G81*12</x:f>
        <x:v>0</x:v>
      </x:c>
      <x:c r="P81" s="26"/>
      <x:c r="U81" s="26" t="n">
        <x:f>TODAY()</x:f>
        <x:v>46149</x:v>
      </x:c>
    </x:row>
    <x:row r="82">
      <x:c r="F82" s="20"/>
      <x:c r="G82" s="20"/>
      <x:c r="H82" s="20" t="n">
        <x:f>G82*12</x:f>
        <x:v>0</x:v>
      </x:c>
      <x:c r="P82" s="26"/>
      <x:c r="U82" s="26" t="n">
        <x:f>TODAY()</x:f>
        <x:v>46149</x:v>
      </x:c>
    </x:row>
    <x:row r="83">
      <x:c r="F83" s="20"/>
      <x:c r="G83" s="20"/>
      <x:c r="H83" s="20" t="n">
        <x:f>G83*12</x:f>
        <x:v>0</x:v>
      </x:c>
      <x:c r="P83" s="26"/>
      <x:c r="U83" s="26" t="n">
        <x:f>TODAY()</x:f>
        <x:v>46149</x:v>
      </x:c>
    </x:row>
    <x:row r="84">
      <x:c r="F84" s="20"/>
      <x:c r="G84" s="20"/>
      <x:c r="H84" s="20" t="n">
        <x:f>G84*12</x:f>
        <x:v>0</x:v>
      </x:c>
      <x:c r="P84" s="26"/>
      <x:c r="U84" s="26" t="n">
        <x:f>TODAY()</x:f>
        <x:v>46149</x:v>
      </x:c>
    </x:row>
    <x:row r="85">
      <x:c r="F85" s="20"/>
      <x:c r="G85" s="20"/>
      <x:c r="H85" s="20" t="n">
        <x:f>G85*12</x:f>
        <x:v>0</x:v>
      </x:c>
      <x:c r="P85" s="26"/>
      <x:c r="U85" s="26" t="n">
        <x:f>TODAY()</x:f>
        <x:v>46149</x:v>
      </x:c>
    </x:row>
    <x:row r="86">
      <x:c r="F86" s="20"/>
      <x:c r="G86" s="20"/>
      <x:c r="H86" s="20" t="n">
        <x:f>G86*12</x:f>
        <x:v>0</x:v>
      </x:c>
      <x:c r="P86" s="26"/>
      <x:c r="U86" s="26" t="n">
        <x:f>TODAY()</x:f>
        <x:v>46149</x:v>
      </x:c>
    </x:row>
    <x:row r="87">
      <x:c r="F87" s="20"/>
      <x:c r="G87" s="20"/>
      <x:c r="H87" s="20" t="n">
        <x:f>G87*12</x:f>
        <x:v>0</x:v>
      </x:c>
      <x:c r="P87" s="26"/>
      <x:c r="U87" s="26" t="n">
        <x:f>TODAY()</x:f>
        <x:v>46149</x:v>
      </x:c>
    </x:row>
    <x:row r="88">
      <x:c r="F88" s="20"/>
      <x:c r="G88" s="20"/>
      <x:c r="H88" s="20" t="n">
        <x:f>G88*12</x:f>
        <x:v>0</x:v>
      </x:c>
      <x:c r="P88" s="26"/>
      <x:c r="U88" s="26" t="n">
        <x:f>TODAY()</x:f>
        <x:v>46149</x:v>
      </x:c>
    </x:row>
    <x:row r="89">
      <x:c r="F89" s="20"/>
      <x:c r="G89" s="20"/>
      <x:c r="H89" s="20" t="n">
        <x:f>G89*12</x:f>
        <x:v>0</x:v>
      </x:c>
      <x:c r="P89" s="26"/>
      <x:c r="U89" s="26" t="n">
        <x:f>TODAY()</x:f>
        <x:v>46149</x:v>
      </x:c>
    </x:row>
    <x:row r="90">
      <x:c r="F90" s="20"/>
      <x:c r="G90" s="20"/>
      <x:c r="H90" s="20" t="n">
        <x:f>G90*12</x:f>
        <x:v>0</x:v>
      </x:c>
      <x:c r="P90" s="26"/>
      <x:c r="U90" s="26" t="n">
        <x:f>TODAY()</x:f>
        <x:v>46149</x:v>
      </x:c>
    </x:row>
    <x:row r="91">
      <x:c r="F91" s="20"/>
      <x:c r="G91" s="20"/>
      <x:c r="H91" s="20" t="n">
        <x:f>G91*12</x:f>
        <x:v>0</x:v>
      </x:c>
      <x:c r="P91" s="26"/>
      <x:c r="U91" s="26" t="n">
        <x:f>TODAY()</x:f>
        <x:v>46149</x:v>
      </x:c>
    </x:row>
    <x:row r="92">
      <x:c r="F92" s="20"/>
      <x:c r="G92" s="20"/>
      <x:c r="H92" s="20" t="n">
        <x:f>G92*12</x:f>
        <x:v>0</x:v>
      </x:c>
      <x:c r="P92" s="26"/>
      <x:c r="U92" s="26" t="n">
        <x:f>TODAY()</x:f>
        <x:v>46149</x:v>
      </x:c>
    </x:row>
    <x:row r="93">
      <x:c r="F93" s="20"/>
      <x:c r="G93" s="20"/>
      <x:c r="H93" s="20" t="n">
        <x:f>G93*12</x:f>
        <x:v>0</x:v>
      </x:c>
      <x:c r="P93" s="26"/>
      <x:c r="U93" s="26" t="n">
        <x:f>TODAY()</x:f>
        <x:v>46149</x:v>
      </x:c>
    </x:row>
    <x:row r="94">
      <x:c r="F94" s="20"/>
      <x:c r="G94" s="20"/>
      <x:c r="H94" s="20" t="n">
        <x:f>G94*12</x:f>
        <x:v>0</x:v>
      </x:c>
      <x:c r="P94" s="26"/>
      <x:c r="U94" s="26" t="n">
        <x:f>TODAY()</x:f>
        <x:v>46149</x:v>
      </x:c>
    </x:row>
    <x:row r="95">
      <x:c r="F95" s="20"/>
      <x:c r="G95" s="20"/>
      <x:c r="H95" s="20" t="n">
        <x:f>G95*12</x:f>
        <x:v>0</x:v>
      </x:c>
      <x:c r="P95" s="26"/>
      <x:c r="U95" s="26" t="n">
        <x:f>TODAY()</x:f>
        <x:v>46149</x:v>
      </x:c>
    </x:row>
    <x:row r="96">
      <x:c r="F96" s="20"/>
      <x:c r="G96" s="20"/>
      <x:c r="H96" s="20" t="n">
        <x:f>G96*12</x:f>
        <x:v>0</x:v>
      </x:c>
      <x:c r="P96" s="26"/>
      <x:c r="U96" s="26" t="n">
        <x:f>TODAY()</x:f>
        <x:v>46149</x:v>
      </x:c>
    </x:row>
    <x:row r="97">
      <x:c r="F97" s="20"/>
      <x:c r="G97" s="20"/>
      <x:c r="H97" s="20" t="n">
        <x:f>G97*12</x:f>
        <x:v>0</x:v>
      </x:c>
      <x:c r="P97" s="26"/>
      <x:c r="U97" s="26" t="n">
        <x:f>TODAY()</x:f>
        <x:v>46149</x:v>
      </x:c>
    </x:row>
    <x:row r="98">
      <x:c r="F98" s="20"/>
      <x:c r="G98" s="20"/>
      <x:c r="H98" s="20" t="n">
        <x:f>G98*12</x:f>
        <x:v>0</x:v>
      </x:c>
      <x:c r="P98" s="26"/>
      <x:c r="U98" s="26" t="n">
        <x:f>TODAY()</x:f>
        <x:v>46149</x:v>
      </x:c>
    </x:row>
    <x:row r="99">
      <x:c r="F99" s="20"/>
      <x:c r="G99" s="20"/>
      <x:c r="H99" s="20" t="n">
        <x:f>G99*12</x:f>
        <x:v>0</x:v>
      </x:c>
      <x:c r="P99" s="26"/>
      <x:c r="U99" s="26" t="n">
        <x:f>TODAY()</x:f>
        <x:v>46149</x:v>
      </x:c>
    </x:row>
    <x:row r="100">
      <x:c r="F100" s="20"/>
      <x:c r="G100" s="20"/>
      <x:c r="H100" s="20" t="n">
        <x:f>G100*12</x:f>
        <x:v>0</x:v>
      </x:c>
      <x:c r="P100" s="26"/>
      <x:c r="U100" s="26" t="n">
        <x:f>TODAY()</x:f>
        <x:v>46149</x:v>
      </x:c>
    </x:row>
    <x:row r="101">
      <x:c r="F101" s="20"/>
      <x:c r="G101" s="20"/>
      <x:c r="H101" s="20" t="n">
        <x:f>G101*12</x:f>
        <x:v>0</x:v>
      </x:c>
      <x:c r="P101" s="26"/>
      <x:c r="U101" s="26" t="n">
        <x:f>TODAY()</x:f>
        <x:v>46149</x:v>
      </x:c>
    </x:row>
    <x:row r="102">
      <x:c r="F102" s="20"/>
      <x:c r="G102" s="20"/>
      <x:c r="H102" s="20" t="n">
        <x:f>G102*12</x:f>
        <x:v>0</x:v>
      </x:c>
      <x:c r="P102" s="26"/>
      <x:c r="U102" s="26" t="n">
        <x:f>TODAY()</x:f>
        <x:v>46149</x:v>
      </x:c>
    </x:row>
    <x:row r="103">
      <x:c r="F103" s="20"/>
      <x:c r="G103" s="20"/>
      <x:c r="H103" s="20" t="n">
        <x:f>G103*12</x:f>
        <x:v>0</x:v>
      </x:c>
      <x:c r="P103" s="26"/>
      <x:c r="U103" s="26" t="n">
        <x:f>TODAY()</x:f>
        <x:v>46149</x:v>
      </x:c>
    </x:row>
    <x:row r="104">
      <x:c r="F104" s="20"/>
      <x:c r="G104" s="20"/>
      <x:c r="H104" s="20" t="n">
        <x:f>G104*12</x:f>
        <x:v>0</x:v>
      </x:c>
      <x:c r="P104" s="26"/>
      <x:c r="U104" s="26" t="n">
        <x:f>TODAY()</x:f>
        <x:v>46149</x:v>
      </x:c>
    </x:row>
    <x:row r="105">
      <x:c r="F105" s="20"/>
      <x:c r="G105" s="20"/>
      <x:c r="H105" s="20" t="n">
        <x:f>G105*12</x:f>
        <x:v>0</x:v>
      </x:c>
      <x:c r="P105" s="26"/>
      <x:c r="U105" s="26" t="n">
        <x:f>TODAY()</x:f>
        <x:v>46149</x:v>
      </x:c>
    </x:row>
    <x:row r="106">
      <x:c r="F106" s="20"/>
      <x:c r="G106" s="20"/>
      <x:c r="H106" s="20" t="n">
        <x:f>G106*12</x:f>
        <x:v>0</x:v>
      </x:c>
      <x:c r="P106" s="26"/>
      <x:c r="U106" s="26" t="n">
        <x:f>TODAY()</x:f>
        <x:v>46149</x:v>
      </x:c>
    </x:row>
    <x:row r="107">
      <x:c r="F107" s="20"/>
      <x:c r="G107" s="20"/>
      <x:c r="H107" s="20" t="n">
        <x:f>G107*12</x:f>
        <x:v>0</x:v>
      </x:c>
      <x:c r="P107" s="26"/>
      <x:c r="U107" s="26" t="n">
        <x:f>TODAY()</x:f>
        <x:v>46149</x:v>
      </x:c>
    </x:row>
    <x:row r="108">
      <x:c r="F108" s="20"/>
      <x:c r="G108" s="20"/>
      <x:c r="H108" s="20" t="n">
        <x:f>G108*12</x:f>
        <x:v>0</x:v>
      </x:c>
      <x:c r="P108" s="26"/>
      <x:c r="U108" s="26" t="n">
        <x:f>TODAY()</x:f>
        <x:v>46149</x:v>
      </x:c>
    </x:row>
    <x:row r="109">
      <x:c r="F109" s="20"/>
      <x:c r="G109" s="20"/>
      <x:c r="H109" s="20" t="n">
        <x:f>G109*12</x:f>
        <x:v>0</x:v>
      </x:c>
      <x:c r="P109" s="26"/>
      <x:c r="U109" s="26" t="n">
        <x:f>TODAY()</x:f>
        <x:v>46149</x:v>
      </x:c>
    </x:row>
    <x:row r="110">
      <x:c r="F110" s="20"/>
      <x:c r="G110" s="20"/>
      <x:c r="H110" s="20" t="n">
        <x:f>G110*12</x:f>
        <x:v>0</x:v>
      </x:c>
      <x:c r="P110" s="26"/>
      <x:c r="U110" s="26" t="n">
        <x:f>TODAY()</x:f>
        <x:v>46149</x:v>
      </x:c>
    </x:row>
    <x:row r="111">
      <x:c r="F111" s="20"/>
      <x:c r="G111" s="20"/>
      <x:c r="H111" s="20" t="n">
        <x:f>G111*12</x:f>
        <x:v>0</x:v>
      </x:c>
      <x:c r="P111" s="26"/>
      <x:c r="U111" s="26" t="n">
        <x:f>TODAY()</x:f>
        <x:v>46149</x:v>
      </x:c>
    </x:row>
    <x:row r="112">
      <x:c r="F112" s="20"/>
      <x:c r="G112" s="20"/>
      <x:c r="H112" s="20" t="n">
        <x:f>G112*12</x:f>
        <x:v>0</x:v>
      </x:c>
      <x:c r="P112" s="26"/>
      <x:c r="U112" s="26" t="n">
        <x:f>TODAY()</x:f>
        <x:v>46149</x:v>
      </x:c>
    </x:row>
    <x:row r="113">
      <x:c r="F113" s="20"/>
      <x:c r="G113" s="20"/>
      <x:c r="H113" s="20" t="n">
        <x:f>G113*12</x:f>
        <x:v>0</x:v>
      </x:c>
      <x:c r="P113" s="26"/>
      <x:c r="U113" s="26" t="n">
        <x:f>TODAY()</x:f>
        <x:v>46149</x:v>
      </x:c>
    </x:row>
    <x:row r="114">
      <x:c r="F114" s="20"/>
      <x:c r="G114" s="20"/>
      <x:c r="H114" s="20" t="n">
        <x:f>G114*12</x:f>
        <x:v>0</x:v>
      </x:c>
      <x:c r="P114" s="26"/>
      <x:c r="U114" s="26" t="n">
        <x:f>TODAY()</x:f>
        <x:v>46149</x:v>
      </x:c>
    </x:row>
    <x:row r="115">
      <x:c r="F115" s="20"/>
      <x:c r="G115" s="20"/>
      <x:c r="H115" s="20" t="n">
        <x:f>G115*12</x:f>
        <x:v>0</x:v>
      </x:c>
      <x:c r="P115" s="26"/>
      <x:c r="U115" s="26" t="n">
        <x:f>TODAY()</x:f>
        <x:v>46149</x:v>
      </x:c>
    </x:row>
    <x:row r="116">
      <x:c r="F116" s="20"/>
      <x:c r="G116" s="20"/>
      <x:c r="H116" s="20" t="n">
        <x:f>G116*12</x:f>
        <x:v>0</x:v>
      </x:c>
      <x:c r="P116" s="26"/>
      <x:c r="U116" s="26" t="n">
        <x:f>TODAY()</x:f>
        <x:v>46149</x:v>
      </x:c>
    </x:row>
    <x:row r="117">
      <x:c r="F117" s="20"/>
      <x:c r="G117" s="20"/>
      <x:c r="H117" s="20" t="n">
        <x:f>G117*12</x:f>
        <x:v>0</x:v>
      </x:c>
      <x:c r="P117" s="26"/>
      <x:c r="U117" s="26" t="n">
        <x:f>TODAY()</x:f>
        <x:v>46149</x:v>
      </x:c>
    </x:row>
    <x:row r="118">
      <x:c r="F118" s="20"/>
      <x:c r="G118" s="20"/>
      <x:c r="H118" s="20" t="n">
        <x:f>G118*12</x:f>
        <x:v>0</x:v>
      </x:c>
      <x:c r="P118" s="26"/>
      <x:c r="U118" s="26" t="n">
        <x:f>TODAY()</x:f>
        <x:v>46149</x:v>
      </x:c>
    </x:row>
    <x:row r="119">
      <x:c r="F119" s="20"/>
      <x:c r="G119" s="20"/>
      <x:c r="H119" s="20" t="n">
        <x:f>G119*12</x:f>
        <x:v>0</x:v>
      </x:c>
      <x:c r="P119" s="26"/>
      <x:c r="U119" s="26" t="n">
        <x:f>TODAY()</x:f>
        <x:v>46149</x:v>
      </x:c>
    </x:row>
    <x:row r="120">
      <x:c r="F120" s="20"/>
      <x:c r="G120" s="20"/>
      <x:c r="H120" s="20" t="n">
        <x:f>G120*12</x:f>
        <x:v>0</x:v>
      </x:c>
      <x:c r="P120" s="26"/>
      <x:c r="U120" s="26" t="n">
        <x:f>TODAY()</x:f>
        <x:v>46149</x:v>
      </x:c>
    </x:row>
    <x:row r="121">
      <x:c r="F121" s="20"/>
      <x:c r="G121" s="20"/>
      <x:c r="H121" s="20" t="n">
        <x:f>G121*12</x:f>
        <x:v>0</x:v>
      </x:c>
      <x:c r="P121" s="26"/>
      <x:c r="U121" s="26" t="n">
        <x:f>TODAY()</x:f>
        <x:v>46149</x:v>
      </x:c>
    </x:row>
    <x:row r="122">
      <x:c r="F122" s="20"/>
      <x:c r="G122" s="20"/>
      <x:c r="H122" s="20" t="n">
        <x:f>G122*12</x:f>
        <x:v>0</x:v>
      </x:c>
      <x:c r="P122" s="26"/>
      <x:c r="U122" s="26" t="n">
        <x:f>TODAY()</x:f>
        <x:v>46149</x:v>
      </x:c>
    </x:row>
    <x:row r="123">
      <x:c r="F123" s="20"/>
      <x:c r="G123" s="20"/>
      <x:c r="H123" s="20" t="n">
        <x:f>G123*12</x:f>
        <x:v>0</x:v>
      </x:c>
      <x:c r="P123" s="26"/>
      <x:c r="U123" s="26" t="n">
        <x:f>TODAY()</x:f>
        <x:v>46149</x:v>
      </x:c>
    </x:row>
    <x:row r="124">
      <x:c r="F124" s="20"/>
      <x:c r="G124" s="20"/>
      <x:c r="H124" s="20" t="n">
        <x:f>G124*12</x:f>
        <x:v>0</x:v>
      </x:c>
      <x:c r="P124" s="26"/>
      <x:c r="U124" s="26" t="n">
        <x:f>TODAY()</x:f>
        <x:v>46149</x:v>
      </x:c>
    </x:row>
    <x:row r="125">
      <x:c r="F125" s="20"/>
      <x:c r="G125" s="20"/>
      <x:c r="H125" s="20" t="n">
        <x:f>G125*12</x:f>
        <x:v>0</x:v>
      </x:c>
      <x:c r="P125" s="26"/>
      <x:c r="U125" s="26" t="n">
        <x:f>TODAY()</x:f>
        <x:v>46149</x:v>
      </x:c>
    </x:row>
    <x:row r="126">
      <x:c r="F126" s="20"/>
      <x:c r="G126" s="20"/>
      <x:c r="H126" s="20" t="n">
        <x:f>G126*12</x:f>
        <x:v>0</x:v>
      </x:c>
      <x:c r="P126" s="26"/>
      <x:c r="U126" s="26" t="n">
        <x:f>TODAY()</x:f>
        <x:v>46149</x:v>
      </x:c>
    </x:row>
    <x:row r="127">
      <x:c r="F127" s="20"/>
      <x:c r="G127" s="20"/>
      <x:c r="H127" s="20" t="n">
        <x:f>G127*12</x:f>
        <x:v>0</x:v>
      </x:c>
      <x:c r="P127" s="26"/>
      <x:c r="U127" s="26" t="n">
        <x:f>TODAY()</x:f>
        <x:v>46149</x:v>
      </x:c>
    </x:row>
    <x:row r="128">
      <x:c r="F128" s="20"/>
      <x:c r="G128" s="20"/>
      <x:c r="H128" s="20" t="n">
        <x:f>G128*12</x:f>
        <x:v>0</x:v>
      </x:c>
      <x:c r="P128" s="26"/>
      <x:c r="U128" s="26" t="n">
        <x:f>TODAY()</x:f>
        <x:v>46149</x:v>
      </x:c>
    </x:row>
    <x:row r="129">
      <x:c r="F129" s="20"/>
      <x:c r="G129" s="20"/>
      <x:c r="H129" s="20" t="n">
        <x:f>G129*12</x:f>
        <x:v>0</x:v>
      </x:c>
      <x:c r="P129" s="26"/>
      <x:c r="U129" s="26" t="n">
        <x:f>TODAY()</x:f>
        <x:v>46149</x:v>
      </x:c>
    </x:row>
    <x:row r="130">
      <x:c r="F130" s="20"/>
      <x:c r="G130" s="20"/>
      <x:c r="H130" s="20" t="n">
        <x:f>G130*12</x:f>
        <x:v>0</x:v>
      </x:c>
      <x:c r="P130" s="26"/>
      <x:c r="U130" s="26" t="n">
        <x:f>TODAY()</x:f>
        <x:v>46149</x:v>
      </x:c>
    </x:row>
    <x:row r="131">
      <x:c r="F131" s="20"/>
      <x:c r="G131" s="20"/>
      <x:c r="H131" s="20" t="n">
        <x:f>G131*12</x:f>
        <x:v>0</x:v>
      </x:c>
      <x:c r="P131" s="26"/>
      <x:c r="U131" s="26" t="n">
        <x:f>TODAY()</x:f>
        <x:v>46149</x:v>
      </x:c>
    </x:row>
    <x:row r="132">
      <x:c r="F132" s="20"/>
      <x:c r="G132" s="20"/>
      <x:c r="H132" s="20" t="n">
        <x:f>G132*12</x:f>
        <x:v>0</x:v>
      </x:c>
      <x:c r="P132" s="26"/>
      <x:c r="U132" s="26" t="n">
        <x:f>TODAY()</x:f>
        <x:v>46149</x:v>
      </x:c>
    </x:row>
    <x:row r="133">
      <x:c r="F133" s="20"/>
      <x:c r="G133" s="20"/>
      <x:c r="H133" s="20" t="n">
        <x:f>G133*12</x:f>
        <x:v>0</x:v>
      </x:c>
      <x:c r="P133" s="26"/>
      <x:c r="U133" s="26" t="n">
        <x:f>TODAY()</x:f>
        <x:v>46149</x:v>
      </x:c>
    </x:row>
    <x:row r="134">
      <x:c r="F134" s="20"/>
      <x:c r="G134" s="20"/>
      <x:c r="H134" s="20" t="n">
        <x:f>G134*12</x:f>
        <x:v>0</x:v>
      </x:c>
      <x:c r="P134" s="26"/>
      <x:c r="U134" s="26" t="n">
        <x:f>TODAY()</x:f>
        <x:v>46149</x:v>
      </x:c>
    </x:row>
    <x:row r="135">
      <x:c r="F135" s="20"/>
      <x:c r="G135" s="20"/>
      <x:c r="H135" s="20" t="n">
        <x:f>G135*12</x:f>
        <x:v>0</x:v>
      </x:c>
      <x:c r="P135" s="26"/>
      <x:c r="U135" s="26" t="n">
        <x:f>TODAY()</x:f>
        <x:v>46149</x:v>
      </x:c>
    </x:row>
    <x:row r="136">
      <x:c r="F136" s="20"/>
      <x:c r="G136" s="20"/>
      <x:c r="H136" s="20" t="n">
        <x:f>G136*12</x:f>
        <x:v>0</x:v>
      </x:c>
      <x:c r="P136" s="26"/>
      <x:c r="U136" s="26" t="n">
        <x:f>TODAY()</x:f>
        <x:v>46149</x:v>
      </x:c>
    </x:row>
    <x:row r="137">
      <x:c r="F137" s="20"/>
      <x:c r="G137" s="20"/>
      <x:c r="H137" s="20" t="n">
        <x:f>G137*12</x:f>
        <x:v>0</x:v>
      </x:c>
      <x:c r="P137" s="26"/>
      <x:c r="U137" s="26" t="n">
        <x:f>TODAY()</x:f>
        <x:v>46149</x:v>
      </x:c>
    </x:row>
    <x:row r="138">
      <x:c r="F138" s="20"/>
      <x:c r="G138" s="20"/>
      <x:c r="H138" s="20" t="n">
        <x:f>G138*12</x:f>
        <x:v>0</x:v>
      </x:c>
      <x:c r="P138" s="26"/>
      <x:c r="U138" s="26" t="n">
        <x:f>TODAY()</x:f>
        <x:v>46149</x:v>
      </x:c>
    </x:row>
    <x:row r="139">
      <x:c r="F139" s="20"/>
      <x:c r="G139" s="20"/>
      <x:c r="H139" s="20" t="n">
        <x:f>G139*12</x:f>
        <x:v>0</x:v>
      </x:c>
      <x:c r="P139" s="26"/>
      <x:c r="U139" s="26" t="n">
        <x:f>TODAY()</x:f>
        <x:v>46149</x:v>
      </x:c>
    </x:row>
    <x:row r="140">
      <x:c r="F140" s="20"/>
      <x:c r="G140" s="20"/>
      <x:c r="H140" s="20" t="n">
        <x:f>G140*12</x:f>
        <x:v>0</x:v>
      </x:c>
      <x:c r="P140" s="26"/>
      <x:c r="U140" s="26" t="n">
        <x:f>TODAY()</x:f>
        <x:v>46149</x:v>
      </x:c>
    </x:row>
    <x:row r="141">
      <x:c r="F141" s="20"/>
      <x:c r="G141" s="20"/>
      <x:c r="H141" s="20" t="n">
        <x:f>G141*12</x:f>
        <x:v>0</x:v>
      </x:c>
      <x:c r="P141" s="26"/>
      <x:c r="U141" s="26" t="n">
        <x:f>TODAY()</x:f>
        <x:v>46149</x:v>
      </x:c>
    </x:row>
    <x:row r="142">
      <x:c r="F142" s="20"/>
      <x:c r="G142" s="20"/>
      <x:c r="H142" s="20" t="n">
        <x:f>G142*12</x:f>
        <x:v>0</x:v>
      </x:c>
      <x:c r="P142" s="26"/>
      <x:c r="U142" s="26" t="n">
        <x:f>TODAY()</x:f>
        <x:v>46149</x:v>
      </x:c>
    </x:row>
    <x:row r="143">
      <x:c r="F143" s="20"/>
      <x:c r="G143" s="20"/>
      <x:c r="H143" s="20" t="n">
        <x:f>G143*12</x:f>
        <x:v>0</x:v>
      </x:c>
      <x:c r="P143" s="26"/>
      <x:c r="U143" s="26" t="n">
        <x:f>TODAY()</x:f>
        <x:v>46149</x:v>
      </x:c>
    </x:row>
    <x:row r="144">
      <x:c r="F144" s="20"/>
      <x:c r="G144" s="20"/>
      <x:c r="H144" s="20" t="n">
        <x:f>G144*12</x:f>
        <x:v>0</x:v>
      </x:c>
      <x:c r="P144" s="26"/>
      <x:c r="U144" s="26" t="n">
        <x:f>TODAY()</x:f>
        <x:v>46149</x:v>
      </x:c>
    </x:row>
    <x:row r="145">
      <x:c r="F145" s="20"/>
      <x:c r="G145" s="20"/>
      <x:c r="H145" s="20" t="n">
        <x:f>G145*12</x:f>
        <x:v>0</x:v>
      </x:c>
      <x:c r="P145" s="26"/>
      <x:c r="U145" s="26" t="n">
        <x:f>TODAY()</x:f>
        <x:v>46149</x:v>
      </x:c>
    </x:row>
    <x:row r="146">
      <x:c r="F146" s="20"/>
      <x:c r="G146" s="20"/>
      <x:c r="H146" s="20" t="n">
        <x:f>G146*12</x:f>
        <x:v>0</x:v>
      </x:c>
      <x:c r="P146" s="26"/>
      <x:c r="U146" s="26" t="n">
        <x:f>TODAY()</x:f>
        <x:v>46149</x:v>
      </x:c>
    </x:row>
    <x:row r="147">
      <x:c r="F147" s="20"/>
      <x:c r="G147" s="20"/>
      <x:c r="H147" s="20" t="n">
        <x:f>G147*12</x:f>
        <x:v>0</x:v>
      </x:c>
      <x:c r="P147" s="26"/>
      <x:c r="U147" s="26" t="n">
        <x:f>TODAY()</x:f>
        <x:v>46149</x:v>
      </x:c>
    </x:row>
    <x:row r="148">
      <x:c r="F148" s="20"/>
      <x:c r="G148" s="20"/>
      <x:c r="H148" s="20" t="n">
        <x:f>G148*12</x:f>
        <x:v>0</x:v>
      </x:c>
      <x:c r="P148" s="26"/>
      <x:c r="U148" s="26" t="n">
        <x:f>TODAY()</x:f>
        <x:v>46149</x:v>
      </x:c>
    </x:row>
    <x:row r="149">
      <x:c r="F149" s="20"/>
      <x:c r="G149" s="20"/>
      <x:c r="H149" s="20" t="n">
        <x:f>G149*12</x:f>
        <x:v>0</x:v>
      </x:c>
      <x:c r="P149" s="26"/>
      <x:c r="U149" s="26" t="n">
        <x:f>TODAY()</x:f>
        <x:v>46149</x:v>
      </x:c>
    </x:row>
    <x:row r="150">
      <x:c r="F150" s="20"/>
      <x:c r="G150" s="20"/>
      <x:c r="H150" s="20" t="n">
        <x:f>G150*12</x:f>
        <x:v>0</x:v>
      </x:c>
      <x:c r="P150" s="26"/>
      <x:c r="U150" s="26" t="n">
        <x:f>TODAY()</x:f>
        <x:v>46149</x:v>
      </x:c>
    </x:row>
    <x:row r="151">
      <x:c r="F151" s="20"/>
      <x:c r="G151" s="20"/>
      <x:c r="H151" s="20" t="n">
        <x:f>G151*12</x:f>
        <x:v>0</x:v>
      </x:c>
      <x:c r="P151" s="26"/>
      <x:c r="U151" s="26" t="n">
        <x:f>TODAY()</x:f>
        <x:v>46149</x:v>
      </x:c>
    </x:row>
    <x:row r="152">
      <x:c r="F152" s="20"/>
      <x:c r="G152" s="20"/>
      <x:c r="H152" s="20" t="n">
        <x:f>G152*12</x:f>
        <x:v>0</x:v>
      </x:c>
      <x:c r="P152" s="26"/>
      <x:c r="U152" s="26" t="n">
        <x:f>TODAY()</x:f>
        <x:v>46149</x:v>
      </x:c>
    </x:row>
    <x:row r="153">
      <x:c r="F153" s="20"/>
      <x:c r="G153" s="20"/>
      <x:c r="H153" s="20" t="n">
        <x:f>G153*12</x:f>
        <x:v>0</x:v>
      </x:c>
      <x:c r="P153" s="26"/>
      <x:c r="U153" s="26" t="n">
        <x:f>TODAY()</x:f>
        <x:v>46149</x:v>
      </x:c>
    </x:row>
    <x:row r="154">
      <x:c r="F154" s="20"/>
      <x:c r="G154" s="20"/>
      <x:c r="H154" s="20" t="n">
        <x:f>G154*12</x:f>
        <x:v>0</x:v>
      </x:c>
      <x:c r="P154" s="26"/>
      <x:c r="U154" s="26" t="n">
        <x:f>TODAY()</x:f>
        <x:v>46149</x:v>
      </x:c>
    </x:row>
    <x:row r="155">
      <x:c r="F155" s="20"/>
      <x:c r="G155" s="20"/>
      <x:c r="H155" s="20" t="n">
        <x:f>G155*12</x:f>
        <x:v>0</x:v>
      </x:c>
      <x:c r="P155" s="26"/>
      <x:c r="U155" s="26" t="n">
        <x:f>TODAY()</x:f>
        <x:v>46149</x:v>
      </x:c>
    </x:row>
    <x:row r="156">
      <x:c r="F156" s="20"/>
      <x:c r="G156" s="20"/>
      <x:c r="H156" s="20" t="n">
        <x:f>G156*12</x:f>
        <x:v>0</x:v>
      </x:c>
      <x:c r="P156" s="26"/>
      <x:c r="U156" s="26" t="n">
        <x:f>TODAY()</x:f>
        <x:v>46149</x:v>
      </x:c>
    </x:row>
    <x:row r="157">
      <x:c r="F157" s="20"/>
      <x:c r="G157" s="20"/>
      <x:c r="H157" s="20" t="n">
        <x:f>G157*12</x:f>
        <x:v>0</x:v>
      </x:c>
      <x:c r="P157" s="26"/>
      <x:c r="U157" s="26" t="n">
        <x:f>TODAY()</x:f>
        <x:v>46149</x:v>
      </x:c>
    </x:row>
    <x:row r="158">
      <x:c r="F158" s="20"/>
      <x:c r="G158" s="20"/>
      <x:c r="H158" s="20" t="n">
        <x:f>G158*12</x:f>
        <x:v>0</x:v>
      </x:c>
      <x:c r="P158" s="26"/>
      <x:c r="U158" s="26" t="n">
        <x:f>TODAY()</x:f>
        <x:v>46149</x:v>
      </x:c>
    </x:row>
    <x:row r="159">
      <x:c r="F159" s="20"/>
      <x:c r="G159" s="20"/>
      <x:c r="H159" s="20" t="n">
        <x:f>G159*12</x:f>
        <x:v>0</x:v>
      </x:c>
      <x:c r="P159" s="26"/>
      <x:c r="U159" s="26" t="n">
        <x:f>TODAY()</x:f>
        <x:v>46149</x:v>
      </x:c>
    </x:row>
    <x:row r="160">
      <x:c r="F160" s="20"/>
      <x:c r="G160" s="20"/>
      <x:c r="H160" s="20" t="n">
        <x:f>G160*12</x:f>
        <x:v>0</x:v>
      </x:c>
      <x:c r="P160" s="26"/>
      <x:c r="U160" s="26" t="n">
        <x:f>TODAY()</x:f>
        <x:v>46149</x:v>
      </x:c>
    </x:row>
    <x:row r="161">
      <x:c r="F161" s="20"/>
      <x:c r="G161" s="20"/>
      <x:c r="H161" s="20" t="n">
        <x:f>G161*12</x:f>
        <x:v>0</x:v>
      </x:c>
      <x:c r="P161" s="26"/>
      <x:c r="U161" s="26" t="n">
        <x:f>TODAY()</x:f>
        <x:v>46149</x:v>
      </x:c>
    </x:row>
    <x:row r="162">
      <x:c r="F162" s="20"/>
      <x:c r="G162" s="20"/>
      <x:c r="H162" s="20" t="n">
        <x:f>G162*12</x:f>
        <x:v>0</x:v>
      </x:c>
      <x:c r="P162" s="26"/>
      <x:c r="U162" s="26" t="n">
        <x:f>TODAY()</x:f>
        <x:v>46149</x:v>
      </x:c>
    </x:row>
    <x:row r="163">
      <x:c r="F163" s="20"/>
      <x:c r="G163" s="20"/>
      <x:c r="H163" s="20" t="n">
        <x:f>G163*12</x:f>
        <x:v>0</x:v>
      </x:c>
      <x:c r="P163" s="26"/>
      <x:c r="U163" s="26" t="n">
        <x:f>TODAY()</x:f>
        <x:v>46149</x:v>
      </x:c>
    </x:row>
    <x:row r="164">
      <x:c r="F164" s="20"/>
      <x:c r="G164" s="20"/>
      <x:c r="H164" s="20" t="n">
        <x:f>G164*12</x:f>
        <x:v>0</x:v>
      </x:c>
      <x:c r="P164" s="26"/>
      <x:c r="U164" s="26" t="n">
        <x:f>TODAY()</x:f>
        <x:v>46149</x:v>
      </x:c>
    </x:row>
    <x:row r="165">
      <x:c r="F165" s="20"/>
      <x:c r="G165" s="20"/>
      <x:c r="H165" s="20" t="n">
        <x:f>G165*12</x:f>
        <x:v>0</x:v>
      </x:c>
      <x:c r="P165" s="26"/>
      <x:c r="U165" s="26" t="n">
        <x:f>TODAY()</x:f>
        <x:v>46149</x:v>
      </x:c>
    </x:row>
    <x:row r="166">
      <x:c r="F166" s="20"/>
      <x:c r="G166" s="20"/>
      <x:c r="H166" s="20" t="n">
        <x:f>G166*12</x:f>
        <x:v>0</x:v>
      </x:c>
      <x:c r="P166" s="26"/>
      <x:c r="U166" s="26" t="n">
        <x:f>TODAY()</x:f>
        <x:v>46149</x:v>
      </x:c>
    </x:row>
    <x:row r="167">
      <x:c r="F167" s="20"/>
      <x:c r="G167" s="20"/>
      <x:c r="H167" s="20" t="n">
        <x:f>G167*12</x:f>
        <x:v>0</x:v>
      </x:c>
      <x:c r="P167" s="26"/>
      <x:c r="U167" s="26" t="n">
        <x:f>TODAY()</x:f>
        <x:v>46149</x:v>
      </x:c>
    </x:row>
    <x:row r="168">
      <x:c r="F168" s="20"/>
      <x:c r="G168" s="20"/>
      <x:c r="H168" s="20" t="n">
        <x:f>G168*12</x:f>
        <x:v>0</x:v>
      </x:c>
      <x:c r="P168" s="26"/>
      <x:c r="U168" s="26" t="n">
        <x:f>TODAY()</x:f>
        <x:v>46149</x:v>
      </x:c>
    </x:row>
    <x:row r="169">
      <x:c r="F169" s="20"/>
      <x:c r="G169" s="20"/>
      <x:c r="H169" s="20" t="n">
        <x:f>G169*12</x:f>
        <x:v>0</x:v>
      </x:c>
      <x:c r="P169" s="26"/>
      <x:c r="U169" s="26" t="n">
        <x:f>TODAY()</x:f>
        <x:v>46149</x:v>
      </x:c>
    </x:row>
    <x:row r="170">
      <x:c r="F170" s="20"/>
      <x:c r="G170" s="20"/>
      <x:c r="H170" s="20" t="n">
        <x:f>G170*12</x:f>
        <x:v>0</x:v>
      </x:c>
      <x:c r="P170" s="26"/>
      <x:c r="U170" s="26" t="n">
        <x:f>TODAY()</x:f>
        <x:v>46149</x:v>
      </x:c>
    </x:row>
    <x:row r="171">
      <x:c r="F171" s="20"/>
      <x:c r="G171" s="20"/>
      <x:c r="H171" s="20" t="n">
        <x:f>G171*12</x:f>
        <x:v>0</x:v>
      </x:c>
      <x:c r="P171" s="26"/>
      <x:c r="U171" s="26" t="n">
        <x:f>TODAY()</x:f>
        <x:v>46149</x:v>
      </x:c>
    </x:row>
    <x:row r="172">
      <x:c r="F172" s="20"/>
      <x:c r="G172" s="20"/>
      <x:c r="H172" s="20" t="n">
        <x:f>G172*12</x:f>
        <x:v>0</x:v>
      </x:c>
      <x:c r="P172" s="26"/>
      <x:c r="U172" s="26" t="n">
        <x:f>TODAY()</x:f>
        <x:v>46149</x:v>
      </x:c>
    </x:row>
    <x:row r="173">
      <x:c r="F173" s="20"/>
      <x:c r="G173" s="20"/>
      <x:c r="H173" s="20" t="n">
        <x:f>G173*12</x:f>
        <x:v>0</x:v>
      </x:c>
      <x:c r="P173" s="26"/>
      <x:c r="U173" s="26" t="n">
        <x:f>TODAY()</x:f>
        <x:v>46149</x:v>
      </x:c>
    </x:row>
    <x:row r="174">
      <x:c r="F174" s="20"/>
      <x:c r="G174" s="20"/>
      <x:c r="H174" s="20" t="n">
        <x:f>G174*12</x:f>
        <x:v>0</x:v>
      </x:c>
      <x:c r="P174" s="26"/>
      <x:c r="U174" s="26" t="n">
        <x:f>TODAY()</x:f>
        <x:v>46149</x:v>
      </x:c>
    </x:row>
    <x:row r="175">
      <x:c r="F175" s="20"/>
      <x:c r="G175" s="20"/>
      <x:c r="H175" s="20" t="n">
        <x:f>G175*12</x:f>
        <x:v>0</x:v>
      </x:c>
      <x:c r="P175" s="26"/>
      <x:c r="U175" s="26" t="n">
        <x:f>TODAY()</x:f>
        <x:v>46149</x:v>
      </x:c>
    </x:row>
    <x:row r="176">
      <x:c r="F176" s="20"/>
      <x:c r="G176" s="20"/>
      <x:c r="H176" s="20" t="n">
        <x:f>G176*12</x:f>
        <x:v>0</x:v>
      </x:c>
      <x:c r="P176" s="26"/>
      <x:c r="U176" s="26" t="n">
        <x:f>TODAY()</x:f>
        <x:v>46149</x:v>
      </x:c>
    </x:row>
    <x:row r="177">
      <x:c r="F177" s="20"/>
      <x:c r="G177" s="20"/>
      <x:c r="H177" s="20" t="n">
        <x:f>G177*12</x:f>
        <x:v>0</x:v>
      </x:c>
      <x:c r="P177" s="26"/>
      <x:c r="U177" s="26" t="n">
        <x:f>TODAY()</x:f>
        <x:v>46149</x:v>
      </x:c>
    </x:row>
    <x:row r="178">
      <x:c r="F178" s="20"/>
      <x:c r="G178" s="20"/>
      <x:c r="H178" s="20" t="n">
        <x:f>G178*12</x:f>
        <x:v>0</x:v>
      </x:c>
      <x:c r="P178" s="26"/>
      <x:c r="U178" s="26" t="n">
        <x:f>TODAY()</x:f>
        <x:v>46149</x:v>
      </x:c>
    </x:row>
    <x:row r="179">
      <x:c r="F179" s="20"/>
      <x:c r="G179" s="20"/>
      <x:c r="H179" s="20" t="n">
        <x:f>G179*12</x:f>
        <x:v>0</x:v>
      </x:c>
      <x:c r="P179" s="26"/>
      <x:c r="U179" s="26" t="n">
        <x:f>TODAY()</x:f>
        <x:v>46149</x:v>
      </x:c>
    </x:row>
    <x:row r="180">
      <x:c r="F180" s="20"/>
      <x:c r="G180" s="20"/>
      <x:c r="H180" s="20" t="n">
        <x:f>G180*12</x:f>
        <x:v>0</x:v>
      </x:c>
      <x:c r="P180" s="26"/>
      <x:c r="U180" s="26" t="n">
        <x:f>TODAY()</x:f>
        <x:v>46149</x:v>
      </x:c>
    </x:row>
    <x:row r="181">
      <x:c r="F181" s="20"/>
      <x:c r="G181" s="20"/>
      <x:c r="H181" s="20" t="n">
        <x:f>G181*12</x:f>
        <x:v>0</x:v>
      </x:c>
      <x:c r="P181" s="26"/>
      <x:c r="U181" s="26" t="n">
        <x:f>TODAY()</x:f>
        <x:v>46149</x:v>
      </x:c>
    </x:row>
    <x:row r="182">
      <x:c r="F182" s="20"/>
      <x:c r="G182" s="20"/>
      <x:c r="H182" s="20" t="n">
        <x:f>G182*12</x:f>
        <x:v>0</x:v>
      </x:c>
      <x:c r="P182" s="26"/>
      <x:c r="U182" s="26" t="n">
        <x:f>TODAY()</x:f>
        <x:v>46149</x:v>
      </x:c>
    </x:row>
    <x:row r="183">
      <x:c r="F183" s="20"/>
      <x:c r="G183" s="20"/>
      <x:c r="H183" s="20" t="n">
        <x:f>G183*12</x:f>
        <x:v>0</x:v>
      </x:c>
      <x:c r="P183" s="26"/>
      <x:c r="U183" s="26" t="n">
        <x:f>TODAY()</x:f>
        <x:v>46149</x:v>
      </x:c>
    </x:row>
    <x:row r="184">
      <x:c r="F184" s="20"/>
      <x:c r="G184" s="20"/>
      <x:c r="H184" s="20" t="n">
        <x:f>G184*12</x:f>
        <x:v>0</x:v>
      </x:c>
      <x:c r="P184" s="26"/>
      <x:c r="U184" s="26" t="n">
        <x:f>TODAY()</x:f>
        <x:v>46149</x:v>
      </x:c>
    </x:row>
    <x:row r="185">
      <x:c r="F185" s="20"/>
      <x:c r="G185" s="20"/>
      <x:c r="H185" s="20" t="n">
        <x:f>G185*12</x:f>
        <x:v>0</x:v>
      </x:c>
      <x:c r="P185" s="26"/>
      <x:c r="U185" s="26" t="n">
        <x:f>TODAY()</x:f>
        <x:v>46149</x:v>
      </x:c>
    </x:row>
    <x:row r="186">
      <x:c r="F186" s="20"/>
      <x:c r="G186" s="20"/>
      <x:c r="H186" s="20" t="n">
        <x:f>G186*12</x:f>
        <x:v>0</x:v>
      </x:c>
      <x:c r="P186" s="26"/>
      <x:c r="U186" s="26" t="n">
        <x:f>TODAY()</x:f>
        <x:v>46149</x:v>
      </x:c>
    </x:row>
    <x:row r="187">
      <x:c r="F187" s="20"/>
      <x:c r="G187" s="20"/>
      <x:c r="H187" s="20" t="n">
        <x:f>G187*12</x:f>
        <x:v>0</x:v>
      </x:c>
      <x:c r="P187" s="26"/>
      <x:c r="U187" s="26" t="n">
        <x:f>TODAY()</x:f>
        <x:v>46149</x:v>
      </x:c>
    </x:row>
    <x:row r="188">
      <x:c r="F188" s="20"/>
      <x:c r="G188" s="20"/>
      <x:c r="H188" s="20" t="n">
        <x:f>G188*12</x:f>
        <x:v>0</x:v>
      </x:c>
      <x:c r="P188" s="26"/>
      <x:c r="U188" s="26" t="n">
        <x:f>TODAY()</x:f>
        <x:v>46149</x:v>
      </x:c>
    </x:row>
    <x:row r="189">
      <x:c r="F189" s="20"/>
      <x:c r="G189" s="20"/>
      <x:c r="H189" s="20" t="n">
        <x:f>G189*12</x:f>
        <x:v>0</x:v>
      </x:c>
      <x:c r="P189" s="26"/>
      <x:c r="U189" s="26" t="n">
        <x:f>TODAY()</x:f>
        <x:v>46149</x:v>
      </x:c>
    </x:row>
    <x:row r="190">
      <x:c r="F190" s="20"/>
      <x:c r="G190" s="20"/>
      <x:c r="H190" s="20" t="n">
        <x:f>G190*12</x:f>
        <x:v>0</x:v>
      </x:c>
      <x:c r="P190" s="26"/>
      <x:c r="U190" s="26" t="n">
        <x:f>TODAY()</x:f>
        <x:v>46149</x:v>
      </x:c>
    </x:row>
    <x:row r="191">
      <x:c r="F191" s="20"/>
      <x:c r="G191" s="20"/>
      <x:c r="H191" s="20" t="n">
        <x:f>G191*12</x:f>
        <x:v>0</x:v>
      </x:c>
      <x:c r="P191" s="26"/>
      <x:c r="U191" s="26" t="n">
        <x:f>TODAY()</x:f>
        <x:v>46149</x:v>
      </x:c>
    </x:row>
    <x:row r="192">
      <x:c r="F192" s="20"/>
      <x:c r="G192" s="20"/>
      <x:c r="H192" s="20" t="n">
        <x:f>G192*12</x:f>
        <x:v>0</x:v>
      </x:c>
      <x:c r="P192" s="26"/>
      <x:c r="U192" s="26" t="n">
        <x:f>TODAY()</x:f>
        <x:v>46149</x:v>
      </x:c>
    </x:row>
    <x:row r="193">
      <x:c r="F193" s="20"/>
      <x:c r="G193" s="20"/>
      <x:c r="H193" s="20" t="n">
        <x:f>G193*12</x:f>
        <x:v>0</x:v>
      </x:c>
      <x:c r="P193" s="26"/>
      <x:c r="U193" s="26" t="n">
        <x:f>TODAY()</x:f>
        <x:v>46149</x:v>
      </x:c>
    </x:row>
    <x:row r="194">
      <x:c r="F194" s="20"/>
      <x:c r="G194" s="20"/>
      <x:c r="H194" s="20" t="n">
        <x:f>G194*12</x:f>
        <x:v>0</x:v>
      </x:c>
      <x:c r="P194" s="26"/>
      <x:c r="U194" s="26" t="n">
        <x:f>TODAY()</x:f>
        <x:v>46149</x:v>
      </x:c>
    </x:row>
    <x:row r="195">
      <x:c r="F195" s="20"/>
      <x:c r="G195" s="20"/>
      <x:c r="H195" s="20" t="n">
        <x:f>G195*12</x:f>
        <x:v>0</x:v>
      </x:c>
      <x:c r="P195" s="26"/>
      <x:c r="U195" s="26" t="n">
        <x:f>TODAY()</x:f>
        <x:v>46149</x:v>
      </x:c>
    </x:row>
    <x:row r="196">
      <x:c r="F196" s="20"/>
      <x:c r="G196" s="20"/>
      <x:c r="H196" s="20" t="n">
        <x:f>G196*12</x:f>
        <x:v>0</x:v>
      </x:c>
      <x:c r="P196" s="26"/>
      <x:c r="U196" s="26" t="n">
        <x:f>TODAY()</x:f>
        <x:v>46149</x:v>
      </x:c>
    </x:row>
    <x:row r="197">
      <x:c r="F197" s="20"/>
      <x:c r="G197" s="20"/>
      <x:c r="H197" s="20" t="n">
        <x:f>G197*12</x:f>
        <x:v>0</x:v>
      </x:c>
      <x:c r="P197" s="26"/>
      <x:c r="U197" s="26" t="n">
        <x:f>TODAY()</x:f>
        <x:v>46149</x:v>
      </x:c>
    </x:row>
    <x:row r="198">
      <x:c r="F198" s="20"/>
      <x:c r="G198" s="20"/>
      <x:c r="H198" s="20" t="n">
        <x:f>G198*12</x:f>
        <x:v>0</x:v>
      </x:c>
      <x:c r="P198" s="26"/>
      <x:c r="U198" s="26" t="n">
        <x:f>TODAY()</x:f>
        <x:v>46149</x:v>
      </x:c>
    </x:row>
    <x:row r="199">
      <x:c r="F199" s="20"/>
      <x:c r="G199" s="20"/>
      <x:c r="H199" s="20" t="n">
        <x:f>G199*12</x:f>
        <x:v>0</x:v>
      </x:c>
      <x:c r="P199" s="26"/>
      <x:c r="U199" s="26" t="n">
        <x:f>TODAY()</x:f>
        <x:v>46149</x:v>
      </x:c>
    </x:row>
    <x:row r="200">
      <x:c r="F200" s="20"/>
      <x:c r="G200" s="20"/>
      <x:c r="H200" s="20" t="n">
        <x:f>G200*12</x:f>
        <x:v>0</x:v>
      </x:c>
      <x:c r="P200" s="26"/>
      <x:c r="U200" s="26" t="n">
        <x:f>TODAY()</x:f>
        <x:v>46149</x:v>
      </x:c>
    </x:row>
  </x:sheetData>
  <x:mergeCells>
    <x:mergeCell ref="A1:U1"/>
  </x:mergeCells>
  <x:conditionalFormatting sqref="O4:O200">
    <x:cfRule type="expression" dxfId="0" priority="1">
      <x:formula>O4="Completed"</x:formula>
    </x:cfRule>
    <x:cfRule type="expression" dxfId="1" priority="2">
      <x:formula>O4="Blocked"</x:formula>
    </x:cfRule>
  </x:conditionalFormatting>
  <x:conditionalFormatting sqref="I4:I200">
    <x:cfRule type="expression" dxfId="2" priority="3">
      <x:formula>I4="High"</x:formula>
    </x:cfRule>
  </x:conditionalFormatting>
  <x:dataValidations count="3">
    <x:dataValidation type="list" sqref="I4:I200">
      <x:formula1>Dropdowns!$C$2:$C$6</x:formula1>
    </x:dataValidation>
    <x:dataValidation type="list" sqref="M4:M200">
      <x:formula1>Dropdowns!$E$2:$E$7</x:formula1>
    </x:dataValidation>
    <x:dataValidation type="list" sqref="O4:O200">
      <x:formula1>Dropdowns!$A$2:$A$7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032ecdfeae4f3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44" t="str">
        <x:v>DBA Validation Checklist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</x:row>
    <x:row r="3" ht="32" customHeight="1">
      <x:c r="A3" s="6" t="str">
        <x:v>DB Identifier</x:v>
      </x:c>
      <x:c r="B3" s="6" t="str">
        <x:v>Environment</x:v>
      </x:c>
      <x:c r="C3" s="6" t="str">
        <x:v>Business Critical?</x:v>
      </x:c>
      <x:c r="D3" s="6" t="str">
        <x:v>Workload Pattern</x:v>
      </x:c>
      <x:c r="E3" s="6" t="str">
        <x:v>CPU/Memory OK to Resize?</x:v>
      </x:c>
      <x:c r="F3" s="6" t="str">
        <x:v>IOPS/Latency OK?</x:v>
      </x:c>
      <x:c r="G3" s="6" t="str">
        <x:v>Replica Required?</x:v>
      </x:c>
      <x:c r="H3" s="6" t="str">
        <x:v>Multi-AZ Required?</x:v>
      </x:c>
      <x:c r="I3" s="6" t="str">
        <x:v>Backup Retention Required</x:v>
      </x:c>
      <x:c r="J3" s="6" t="str">
        <x:v>Snapshot Retention Required</x:v>
      </x:c>
      <x:c r="K3" s="6" t="str">
        <x:v>Compliance Constraint?</x:v>
      </x:c>
      <x:c r="L3" s="6" t="str">
        <x:v>DBA Recommendation</x:v>
      </x:c>
      <x:c r="M3" s="6" t="str">
        <x:v>DBA Decision</x:v>
      </x:c>
      <x:c r="N3" s="6" t="str">
        <x:v>DBA Owner</x:v>
      </x:c>
      <x:c r="O3" s="6" t="str">
        <x:v>App Owner</x:v>
      </x:c>
      <x:c r="P3" s="6" t="str">
        <x:v>Testing Required</x:v>
      </x:c>
      <x:c r="Q3" s="6" t="str">
        <x:v>Approval Date</x:v>
      </x:c>
      <x:c r="R3" s="6" t="str">
        <x:v>Comments</x:v>
      </x:c>
    </x:row>
    <x:row r="4">
      <x:c r="A4" t="str">
        <x:v>prod-orders-db</x:v>
      </x:c>
      <x:c r="B4" t="str">
        <x:v>Prod</x:v>
      </x:c>
      <x:c r="C4" t="str">
        <x:v>Yes</x:v>
      </x:c>
      <x:c r="D4" t="str">
        <x:v>Steady + month-end spikes</x:v>
      </x:c>
      <x:c r="E4" t="str">
        <x:v>No</x:v>
      </x:c>
      <x:c r="F4" t="str">
        <x:v>Yes</x:v>
      </x:c>
      <x:c r="G4" t="str">
        <x:v>Yes</x:v>
      </x:c>
      <x:c r="H4" t="str">
        <x:v>Yes</x:v>
      </x:c>
      <x:c r="I4" t="str">
        <x:v>35 days</x:v>
      </x:c>
      <x:c r="J4" t="str">
        <x:v>Annual manual snapshot</x:v>
      </x:c>
      <x:c r="K4" t="str">
        <x:v>Yes</x:v>
      </x:c>
      <x:c r="L4" t="str">
        <x:v>Keep size; RI candidate only</x:v>
      </x:c>
      <x:c r="M4" t="str">
        <x:v>Need More Data</x:v>
      </x:c>
      <x:c r="N4" t="str"/>
      <x:c r="O4" t="str"/>
      <x:c r="P4" t="str">
        <x:v>Performance test before resize</x:v>
      </x:c>
      <x:c r="Q4" s="26" t="str"/>
      <x:c r="R4" t="str"/>
    </x:row>
    <x:row r="5">
      <x:c r="A5" t="str">
        <x:v>qa-reporting-db</x:v>
      </x:c>
      <x:c r="B5" t="str">
        <x:v>QA</x:v>
      </x:c>
      <x:c r="C5" t="str">
        <x:v>No</x:v>
      </x:c>
      <x:c r="D5" t="str">
        <x:v>Business hours only</x:v>
      </x:c>
      <x:c r="E5" t="str">
        <x:v>Yes</x:v>
      </x:c>
      <x:c r="F5" t="str">
        <x:v>Yes</x:v>
      </x:c>
      <x:c r="G5" t="str">
        <x:v>No</x:v>
      </x:c>
      <x:c r="H5" t="str">
        <x:v>No</x:v>
      </x:c>
      <x:c r="I5" t="str">
        <x:v>7 days</x:v>
      </x:c>
      <x:c r="J5" t="str">
        <x:v>30 days</x:v>
      </x:c>
      <x:c r="K5" t="str">
        <x:v>No</x:v>
      </x:c>
      <x:c r="L5" t="str">
        <x:v>Schedule stop/start and reduce backups</x:v>
      </x:c>
      <x:c r="M5" t="str">
        <x:v>TBD</x:v>
      </x:c>
      <x:c r="N5" t="str"/>
      <x:c r="O5" t="str"/>
      <x:c r="P5" t="str">
        <x:v>QA smoke test</x:v>
      </x:c>
      <x:c r="Q5" s="26" t="str"/>
      <x:c r="R5" t="str"/>
    </x:row>
    <x:row r="6">
      <x:c r="A6" t="str">
        <x:v>stage-customer-db</x:v>
      </x:c>
      <x:c r="B6" t="str">
        <x:v>Stage</x:v>
      </x:c>
      <x:c r="C6" t="str">
        <x:v>No</x:v>
      </x:c>
      <x:c r="D6" t="str">
        <x:v>Intermittent testing</x:v>
      </x:c>
      <x:c r="E6" t="str">
        <x:v>Yes</x:v>
      </x:c>
      <x:c r="F6" t="str">
        <x:v>Yes</x:v>
      </x:c>
      <x:c r="G6" t="str">
        <x:v>TBD</x:v>
      </x:c>
      <x:c r="H6" t="str">
        <x:v>TBD</x:v>
      </x:c>
      <x:c r="I6" t="str">
        <x:v>7 days</x:v>
      </x:c>
      <x:c r="J6" t="str">
        <x:v>30 days</x:v>
      </x:c>
      <x:c r="K6" t="str">
        <x:v>No</x:v>
      </x:c>
      <x:c r="L6" t="str">
        <x:v>Review replica usage first</x:v>
      </x:c>
      <x:c r="M6" t="str">
        <x:v>TBD</x:v>
      </x:c>
      <x:c r="N6" t="str"/>
      <x:c r="O6" t="str"/>
      <x:c r="P6" t="str">
        <x:v>Stage smoke test</x:v>
      </x:c>
      <x:c r="Q6" s="26" t="str"/>
      <x:c r="R6" t="str"/>
    </x:row>
    <x:row r="7">
      <x:c r="Q7" s="26"/>
    </x:row>
    <x:row r="8">
      <x:c r="Q8" s="26"/>
    </x:row>
    <x:row r="9">
      <x:c r="Q9" s="26"/>
    </x:row>
    <x:row r="10">
      <x:c r="Q10" s="26"/>
    </x:row>
    <x:row r="11">
      <x:c r="Q11" s="26"/>
    </x:row>
    <x:row r="12">
      <x:c r="Q12" s="26"/>
    </x:row>
    <x:row r="13">
      <x:c r="Q13" s="26"/>
    </x:row>
    <x:row r="14">
      <x:c r="Q14" s="26"/>
    </x:row>
    <x:row r="15">
      <x:c r="Q15" s="26"/>
    </x:row>
    <x:row r="16">
      <x:c r="Q16" s="26"/>
    </x:row>
    <x:row r="17">
      <x:c r="Q17" s="26"/>
    </x:row>
    <x:row r="18">
      <x:c r="Q18" s="26"/>
    </x:row>
    <x:row r="19">
      <x:c r="Q19" s="26"/>
    </x:row>
    <x:row r="20">
      <x:c r="Q20" s="26"/>
    </x:row>
    <x:row r="21">
      <x:c r="Q21" s="26"/>
    </x:row>
    <x:row r="22">
      <x:c r="Q22" s="26"/>
    </x:row>
    <x:row r="23">
      <x:c r="Q23" s="26"/>
    </x:row>
    <x:row r="24">
      <x:c r="Q24" s="26"/>
    </x:row>
    <x:row r="25">
      <x:c r="Q25" s="26"/>
    </x:row>
    <x:row r="26">
      <x:c r="Q26" s="26"/>
    </x:row>
    <x:row r="27">
      <x:c r="Q27" s="26"/>
    </x:row>
    <x:row r="28">
      <x:c r="Q28" s="26"/>
    </x:row>
    <x:row r="29">
      <x:c r="Q29" s="26"/>
    </x:row>
    <x:row r="30">
      <x:c r="Q30" s="26"/>
    </x:row>
    <x:row r="31">
      <x:c r="Q31" s="26"/>
    </x:row>
    <x:row r="32">
      <x:c r="Q32" s="26"/>
    </x:row>
    <x:row r="33">
      <x:c r="Q33" s="26"/>
    </x:row>
    <x:row r="34">
      <x:c r="Q34" s="26"/>
    </x:row>
    <x:row r="35">
      <x:c r="Q35" s="26"/>
    </x:row>
    <x:row r="36">
      <x:c r="Q36" s="26"/>
    </x:row>
    <x:row r="37">
      <x:c r="Q37" s="26"/>
    </x:row>
    <x:row r="38">
      <x:c r="Q38" s="26"/>
    </x:row>
    <x:row r="39">
      <x:c r="Q39" s="26"/>
    </x:row>
    <x:row r="40">
      <x:c r="Q40" s="26"/>
    </x:row>
    <x:row r="41">
      <x:c r="Q41" s="26"/>
    </x:row>
    <x:row r="42">
      <x:c r="Q42" s="26"/>
    </x:row>
    <x:row r="43">
      <x:c r="Q43" s="26"/>
    </x:row>
    <x:row r="44">
      <x:c r="Q44" s="26"/>
    </x:row>
    <x:row r="45">
      <x:c r="Q45" s="26"/>
    </x:row>
    <x:row r="46">
      <x:c r="Q46" s="26"/>
    </x:row>
    <x:row r="47">
      <x:c r="Q47" s="26"/>
    </x:row>
    <x:row r="48">
      <x:c r="Q48" s="26"/>
    </x:row>
    <x:row r="49">
      <x:c r="Q49" s="26"/>
    </x:row>
    <x:row r="50">
      <x:c r="Q50" s="26"/>
    </x:row>
    <x:row r="51">
      <x:c r="Q51" s="26"/>
    </x:row>
    <x:row r="52">
      <x:c r="Q52" s="26"/>
    </x:row>
    <x:row r="53">
      <x:c r="Q53" s="26"/>
    </x:row>
    <x:row r="54">
      <x:c r="Q54" s="26"/>
    </x:row>
    <x:row r="55">
      <x:c r="Q55" s="26"/>
    </x:row>
    <x:row r="56">
      <x:c r="Q56" s="26"/>
    </x:row>
    <x:row r="57">
      <x:c r="Q57" s="26"/>
    </x:row>
    <x:row r="58">
      <x:c r="Q58" s="26"/>
    </x:row>
    <x:row r="59">
      <x:c r="Q59" s="26"/>
    </x:row>
    <x:row r="60">
      <x:c r="Q60" s="26"/>
    </x:row>
    <x:row r="61">
      <x:c r="Q61" s="26"/>
    </x:row>
    <x:row r="62">
      <x:c r="Q62" s="26"/>
    </x:row>
    <x:row r="63">
      <x:c r="Q63" s="26"/>
    </x:row>
    <x:row r="64">
      <x:c r="Q64" s="26"/>
    </x:row>
    <x:row r="65">
      <x:c r="Q65" s="26"/>
    </x:row>
    <x:row r="66">
      <x:c r="Q66" s="26"/>
    </x:row>
    <x:row r="67">
      <x:c r="Q67" s="26"/>
    </x:row>
    <x:row r="68">
      <x:c r="Q68" s="26"/>
    </x:row>
    <x:row r="69">
      <x:c r="Q69" s="26"/>
    </x:row>
    <x:row r="70">
      <x:c r="Q70" s="26"/>
    </x:row>
    <x:row r="71">
      <x:c r="Q71" s="26"/>
    </x:row>
    <x:row r="72">
      <x:c r="Q72" s="26"/>
    </x:row>
    <x:row r="73">
      <x:c r="Q73" s="26"/>
    </x:row>
    <x:row r="74">
      <x:c r="Q74" s="26"/>
    </x:row>
    <x:row r="75">
      <x:c r="Q75" s="26"/>
    </x:row>
    <x:row r="76">
      <x:c r="Q76" s="26"/>
    </x:row>
    <x:row r="77">
      <x:c r="Q77" s="26"/>
    </x:row>
    <x:row r="78">
      <x:c r="Q78" s="26"/>
    </x:row>
    <x:row r="79">
      <x:c r="Q79" s="26"/>
    </x:row>
    <x:row r="80">
      <x:c r="Q80" s="26"/>
    </x:row>
    <x:row r="81">
      <x:c r="Q81" s="26"/>
    </x:row>
    <x:row r="82">
      <x:c r="Q82" s="26"/>
    </x:row>
    <x:row r="83">
      <x:c r="Q83" s="26"/>
    </x:row>
    <x:row r="84">
      <x:c r="Q84" s="26"/>
    </x:row>
    <x:row r="85">
      <x:c r="Q85" s="26"/>
    </x:row>
    <x:row r="86">
      <x:c r="Q86" s="26"/>
    </x:row>
    <x:row r="87">
      <x:c r="Q87" s="26"/>
    </x:row>
    <x:row r="88">
      <x:c r="Q88" s="26"/>
    </x:row>
    <x:row r="89">
      <x:c r="Q89" s="26"/>
    </x:row>
    <x:row r="90">
      <x:c r="Q90" s="26"/>
    </x:row>
    <x:row r="91">
      <x:c r="Q91" s="26"/>
    </x:row>
    <x:row r="92">
      <x:c r="Q92" s="26"/>
    </x:row>
    <x:row r="93">
      <x:c r="Q93" s="26"/>
    </x:row>
    <x:row r="94">
      <x:c r="Q94" s="26"/>
    </x:row>
    <x:row r="95">
      <x:c r="Q95" s="26"/>
    </x:row>
    <x:row r="96">
      <x:c r="Q96" s="26"/>
    </x:row>
    <x:row r="97">
      <x:c r="Q97" s="26"/>
    </x:row>
    <x:row r="98">
      <x:c r="Q98" s="26"/>
    </x:row>
    <x:row r="99">
      <x:c r="Q99" s="26"/>
    </x:row>
    <x:row r="100">
      <x:c r="Q100" s="26"/>
    </x:row>
    <x:row r="101">
      <x:c r="Q101" s="26"/>
    </x:row>
    <x:row r="102">
      <x:c r="Q102" s="26"/>
    </x:row>
    <x:row r="103">
      <x:c r="Q103" s="26"/>
    </x:row>
    <x:row r="104">
      <x:c r="Q104" s="26"/>
    </x:row>
    <x:row r="105">
      <x:c r="Q105" s="26"/>
    </x:row>
    <x:row r="106">
      <x:c r="Q106" s="26"/>
    </x:row>
    <x:row r="107">
      <x:c r="Q107" s="26"/>
    </x:row>
    <x:row r="108">
      <x:c r="Q108" s="26"/>
    </x:row>
    <x:row r="109">
      <x:c r="Q109" s="26"/>
    </x:row>
    <x:row r="110">
      <x:c r="Q110" s="26"/>
    </x:row>
    <x:row r="111">
      <x:c r="Q111" s="26"/>
    </x:row>
    <x:row r="112">
      <x:c r="Q112" s="26"/>
    </x:row>
    <x:row r="113">
      <x:c r="Q113" s="26"/>
    </x:row>
    <x:row r="114">
      <x:c r="Q114" s="26"/>
    </x:row>
    <x:row r="115">
      <x:c r="Q115" s="26"/>
    </x:row>
    <x:row r="116">
      <x:c r="Q116" s="26"/>
    </x:row>
    <x:row r="117">
      <x:c r="Q117" s="26"/>
    </x:row>
    <x:row r="118">
      <x:c r="Q118" s="26"/>
    </x:row>
    <x:row r="119">
      <x:c r="Q119" s="26"/>
    </x:row>
    <x:row r="120">
      <x:c r="Q120" s="26"/>
    </x:row>
    <x:row r="121">
      <x:c r="Q121" s="26"/>
    </x:row>
    <x:row r="122">
      <x:c r="Q122" s="26"/>
    </x:row>
    <x:row r="123">
      <x:c r="Q123" s="26"/>
    </x:row>
    <x:row r="124">
      <x:c r="Q124" s="26"/>
    </x:row>
    <x:row r="125">
      <x:c r="Q125" s="26"/>
    </x:row>
    <x:row r="126">
      <x:c r="Q126" s="26"/>
    </x:row>
    <x:row r="127">
      <x:c r="Q127" s="26"/>
    </x:row>
    <x:row r="128">
      <x:c r="Q128" s="26"/>
    </x:row>
    <x:row r="129">
      <x:c r="Q129" s="26"/>
    </x:row>
    <x:row r="130">
      <x:c r="Q130" s="26"/>
    </x:row>
    <x:row r="131">
      <x:c r="Q131" s="26"/>
    </x:row>
    <x:row r="132">
      <x:c r="Q132" s="26"/>
    </x:row>
    <x:row r="133">
      <x:c r="Q133" s="26"/>
    </x:row>
    <x:row r="134">
      <x:c r="Q134" s="26"/>
    </x:row>
    <x:row r="135">
      <x:c r="Q135" s="26"/>
    </x:row>
    <x:row r="136">
      <x:c r="Q136" s="26"/>
    </x:row>
    <x:row r="137">
      <x:c r="Q137" s="26"/>
    </x:row>
    <x:row r="138">
      <x:c r="Q138" s="26"/>
    </x:row>
    <x:row r="139">
      <x:c r="Q139" s="26"/>
    </x:row>
    <x:row r="140">
      <x:c r="Q140" s="26"/>
    </x:row>
    <x:row r="141">
      <x:c r="Q141" s="26"/>
    </x:row>
    <x:row r="142">
      <x:c r="Q142" s="26"/>
    </x:row>
    <x:row r="143">
      <x:c r="Q143" s="26"/>
    </x:row>
    <x:row r="144">
      <x:c r="Q144" s="26"/>
    </x:row>
    <x:row r="145">
      <x:c r="Q145" s="26"/>
    </x:row>
    <x:row r="146">
      <x:c r="Q146" s="26"/>
    </x:row>
    <x:row r="147">
      <x:c r="Q147" s="26"/>
    </x:row>
    <x:row r="148">
      <x:c r="Q148" s="26"/>
    </x:row>
    <x:row r="149">
      <x:c r="Q149" s="26"/>
    </x:row>
    <x:row r="150">
      <x:c r="Q150" s="26"/>
    </x:row>
    <x:row r="151">
      <x:c r="Q151" s="26"/>
    </x:row>
    <x:row r="152">
      <x:c r="Q152" s="26"/>
    </x:row>
    <x:row r="153">
      <x:c r="Q153" s="26"/>
    </x:row>
    <x:row r="154">
      <x:c r="Q154" s="26"/>
    </x:row>
    <x:row r="155">
      <x:c r="Q155" s="26"/>
    </x:row>
    <x:row r="156">
      <x:c r="Q156" s="26"/>
    </x:row>
    <x:row r="157">
      <x:c r="Q157" s="26"/>
    </x:row>
    <x:row r="158">
      <x:c r="Q158" s="26"/>
    </x:row>
    <x:row r="159">
      <x:c r="Q159" s="26"/>
    </x:row>
    <x:row r="160">
      <x:c r="Q160" s="26"/>
    </x:row>
    <x:row r="161">
      <x:c r="Q161" s="26"/>
    </x:row>
    <x:row r="162">
      <x:c r="Q162" s="26"/>
    </x:row>
    <x:row r="163">
      <x:c r="Q163" s="26"/>
    </x:row>
    <x:row r="164">
      <x:c r="Q164" s="26"/>
    </x:row>
    <x:row r="165">
      <x:c r="Q165" s="26"/>
    </x:row>
    <x:row r="166">
      <x:c r="Q166" s="26"/>
    </x:row>
    <x:row r="167">
      <x:c r="Q167" s="26"/>
    </x:row>
    <x:row r="168">
      <x:c r="Q168" s="26"/>
    </x:row>
    <x:row r="169">
      <x:c r="Q169" s="26"/>
    </x:row>
    <x:row r="170">
      <x:c r="Q170" s="26"/>
    </x:row>
    <x:row r="171">
      <x:c r="Q171" s="26"/>
    </x:row>
    <x:row r="172">
      <x:c r="Q172" s="26"/>
    </x:row>
    <x:row r="173">
      <x:c r="Q173" s="26"/>
    </x:row>
    <x:row r="174">
      <x:c r="Q174" s="26"/>
    </x:row>
    <x:row r="175">
      <x:c r="Q175" s="26"/>
    </x:row>
    <x:row r="176">
      <x:c r="Q176" s="26"/>
    </x:row>
    <x:row r="177">
      <x:c r="Q177" s="26"/>
    </x:row>
    <x:row r="178">
      <x:c r="Q178" s="26"/>
    </x:row>
    <x:row r="179">
      <x:c r="Q179" s="26"/>
    </x:row>
    <x:row r="180">
      <x:c r="Q180" s="26"/>
    </x:row>
    <x:row r="181">
      <x:c r="Q181" s="26"/>
    </x:row>
    <x:row r="182">
      <x:c r="Q182" s="26"/>
    </x:row>
    <x:row r="183">
      <x:c r="Q183" s="26"/>
    </x:row>
    <x:row r="184">
      <x:c r="Q184" s="26"/>
    </x:row>
    <x:row r="185">
      <x:c r="Q185" s="26"/>
    </x:row>
    <x:row r="186">
      <x:c r="Q186" s="26"/>
    </x:row>
    <x:row r="187">
      <x:c r="Q187" s="26"/>
    </x:row>
    <x:row r="188">
      <x:c r="Q188" s="26"/>
    </x:row>
    <x:row r="189">
      <x:c r="Q189" s="26"/>
    </x:row>
    <x:row r="190">
      <x:c r="Q190" s="26"/>
    </x:row>
    <x:row r="191">
      <x:c r="Q191" s="26"/>
    </x:row>
    <x:row r="192">
      <x:c r="Q192" s="26"/>
    </x:row>
    <x:row r="193">
      <x:c r="Q193" s="26"/>
    </x:row>
    <x:row r="194">
      <x:c r="Q194" s="26"/>
    </x:row>
    <x:row r="195">
      <x:c r="Q195" s="26"/>
    </x:row>
    <x:row r="196">
      <x:c r="Q196" s="26"/>
    </x:row>
    <x:row r="197">
      <x:c r="Q197" s="26"/>
    </x:row>
    <x:row r="198">
      <x:c r="Q198" s="26"/>
    </x:row>
    <x:row r="199">
      <x:c r="Q199" s="26"/>
    </x:row>
    <x:row r="200">
      <x:c r="Q200" s="26"/>
    </x:row>
  </x:sheetData>
  <x:mergeCells>
    <x:mergeCell ref="A1:R1"/>
  </x:mergeCells>
  <x:dataValidations count="8">
    <x:dataValidation type="list" sqref="B4:B200">
      <x:formula1>Dropdowns!$D$2:$D$7</x:formula1>
    </x:dataValidation>
    <x:dataValidation type="list" sqref="C4:C200">
      <x:formula1>"Yes,No,TBD"</x:formula1>
    </x:dataValidation>
    <x:dataValidation type="list" sqref="E4:E200">
      <x:formula1>"Yes,No,TBD"</x:formula1>
    </x:dataValidation>
    <x:dataValidation type="list" sqref="F4:F200">
      <x:formula1>"Yes,No,TBD"</x:formula1>
    </x:dataValidation>
    <x:dataValidation type="list" sqref="G4:G200">
      <x:formula1>"Yes,No,TBD"</x:formula1>
    </x:dataValidation>
    <x:dataValidation type="list" sqref="H4:H200">
      <x:formula1>"Yes,No,TBD"</x:formula1>
    </x:dataValidation>
    <x:dataValidation type="list" sqref="K4:K200">
      <x:formula1>"Yes,No,TBD"</x:formula1>
    </x:dataValidation>
    <x:dataValidation type="list" sqref="M4:M200">
      <x:formula1>Dropdowns!$E$2:$E$7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b7b8d46b904f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44" t="str">
        <x:v>RDS Reserved Instance Coverage Review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</x:row>
    <x:row r="3" ht="32" customHeight="1">
      <x:c r="A3" s="6" t="str">
        <x:v>DB Identifier</x:v>
      </x:c>
      <x:c r="B3" s="6" t="str">
        <x:v>Engine</x:v>
      </x:c>
      <x:c r="C3" s="6" t="str">
        <x:v>Region</x:v>
      </x:c>
      <x:c r="D3" s="6" t="str">
        <x:v>Instance Class</x:v>
      </x:c>
      <x:c r="E3" s="6" t="str">
        <x:v>Environment</x:v>
      </x:c>
      <x:c r="F3" s="6" t="str">
        <x:v>Current Purchase Option</x:v>
      </x:c>
      <x:c r="G3" s="6" t="str">
        <x:v>Monthly On-Demand Cost</x:v>
      </x:c>
      <x:c r="H3" s="6" t="str">
        <x:v>Current RI Coverage %</x:v>
      </x:c>
      <x:c r="I3" s="6" t="str">
        <x:v>RI Utilization %</x:v>
      </x:c>
      <x:c r="J3" s="6" t="str">
        <x:v>Candidate for RI?</x:v>
      </x:c>
      <x:c r="K3" s="6" t="str">
        <x:v>Recommended Term</x:v>
      </x:c>
      <x:c r="L3" s="6" t="str">
        <x:v>Estimated Monthly Savings</x:v>
      </x:c>
      <x:c r="M3" s="6" t="str">
        <x:v>Annualized Savings</x:v>
      </x:c>
      <x:c r="N3" s="6" t="str">
        <x:v>DBA Confirms Stable 12 Months?</x:v>
      </x:c>
      <x:c r="O3" s="6" t="str">
        <x:v>Migration/Resize Planned?</x:v>
      </x:c>
      <x:c r="P3" s="6" t="str">
        <x:v>Decision</x:v>
      </x:c>
      <x:c r="Q3" s="6" t="str">
        <x:v>Notes</x:v>
      </x:c>
    </x:row>
    <x:row r="4">
      <x:c r="A4" t="str">
        <x:v>prod-orders-db</x:v>
      </x:c>
      <x:c r="B4" t="str">
        <x:v>PostgreSQL</x:v>
      </x:c>
      <x:c r="C4" t="str">
        <x:v>us-east-1</x:v>
      </x:c>
      <x:c r="D4" t="str">
        <x:v>db.m8g.xlarge</x:v>
      </x:c>
      <x:c r="E4" t="str">
        <x:v>Prod</x:v>
      </x:c>
      <x:c r="F4" t="str">
        <x:v>On-Demand</x:v>
      </x:c>
      <x:c r="G4" s="20" t="n">
        <x:v>1800</x:v>
      </x:c>
      <x:c r="H4" s="24" t="n">
        <x:v>0</x:v>
      </x:c>
      <x:c r="I4" s="24" t="n">
        <x:v>0</x:v>
      </x:c>
      <x:c r="J4" t="str">
        <x:v>Yes</x:v>
      </x:c>
      <x:c r="K4" t="str">
        <x:v>1-year</x:v>
      </x:c>
      <x:c r="L4" s="20" t="n">
        <x:v>450</x:v>
      </x:c>
      <x:c r="M4" s="20" t="n">
        <x:f>L4*12</x:f>
        <x:v>5400</x:v>
      </x:c>
      <x:c r="N4" t="str">
        <x:v>TBD</x:v>
      </x:c>
      <x:c r="O4" t="str">
        <x:v>TBD</x:v>
      </x:c>
      <x:c r="P4" t="str">
        <x:v>TBD</x:v>
      </x:c>
      <x:c r="Q4" t="str">
        <x:v>Confirm before purchasing commitment</x:v>
      </x:c>
    </x:row>
    <x:row r="5">
      <x:c r="A5" t="str">
        <x:v>qa-reporting-db</x:v>
      </x:c>
      <x:c r="B5" t="str">
        <x:v>PostgreSQL</x:v>
      </x:c>
      <x:c r="C5" t="str">
        <x:v>us-east-1</x:v>
      </x:c>
      <x:c r="D5" t="str">
        <x:v>db.r8g.large</x:v>
      </x:c>
      <x:c r="E5" t="str">
        <x:v>QA</x:v>
      </x:c>
      <x:c r="F5" t="str">
        <x:v>On-Demand</x:v>
      </x:c>
      <x:c r="G5" s="20" t="n">
        <x:v>420</x:v>
      </x:c>
      <x:c r="H5" s="24" t="n">
        <x:v>0</x:v>
      </x:c>
      <x:c r="I5" s="24" t="n">
        <x:v>0</x:v>
      </x:c>
      <x:c r="J5" t="str">
        <x:v>No</x:v>
      </x:c>
      <x:c r="K5" t="str">
        <x:v>N/A</x:v>
      </x:c>
      <x:c r="L5" s="20" t="n">
        <x:v>0</x:v>
      </x:c>
      <x:c r="M5" s="20" t="n">
        <x:f>L5*12</x:f>
        <x:v>0</x:v>
      </x:c>
      <x:c r="N5" t="str">
        <x:v>No</x:v>
      </x:c>
      <x:c r="O5" t="str">
        <x:v>TBD</x:v>
      </x:c>
      <x:c r="P5" t="str">
        <x:v>Reject</x:v>
      </x:c>
      <x:c r="Q5" t="str">
        <x:v>Non-prod scheduling preferred</x:v>
      </x:c>
    </x:row>
    <x:row r="6">
      <x:c r="A6" t="str">
        <x:v>stage-customer-db</x:v>
      </x:c>
      <x:c r="B6" t="str">
        <x:v>MySQL</x:v>
      </x:c>
      <x:c r="C6" t="str">
        <x:v>us-east-1</x:v>
      </x:c>
      <x:c r="D6" t="str">
        <x:v>db.m7g.xlarge</x:v>
      </x:c>
      <x:c r="E6" t="str">
        <x:v>Stage</x:v>
      </x:c>
      <x:c r="F6" t="str">
        <x:v>On-Demand</x:v>
      </x:c>
      <x:c r="G6" s="20" t="n">
        <x:v>950</x:v>
      </x:c>
      <x:c r="H6" s="24" t="n">
        <x:v>0</x:v>
      </x:c>
      <x:c r="I6" s="24" t="n">
        <x:v>0</x:v>
      </x:c>
      <x:c r="J6" t="str">
        <x:v>TBD</x:v>
      </x:c>
      <x:c r="K6" t="str">
        <x:v>TBD</x:v>
      </x:c>
      <x:c r="L6" s="20" t="n">
        <x:v>0</x:v>
      </x:c>
      <x:c r="M6" s="20" t="n">
        <x:f>L6*12</x:f>
        <x:v>0</x:v>
      </x:c>
      <x:c r="N6" t="str">
        <x:v>TBD</x:v>
      </x:c>
      <x:c r="O6" t="str">
        <x:v>TBD</x:v>
      </x:c>
      <x:c r="P6" t="str">
        <x:v>TBD</x:v>
      </x:c>
      <x:c r="Q6" t="str">
        <x:v>Wait for replica/right-size review</x:v>
      </x:c>
    </x:row>
    <x:row r="7">
      <x:c r="G7" s="20"/>
      <x:c r="H7" s="24"/>
      <x:c r="I7" s="24"/>
      <x:c r="L7" s="20"/>
      <x:c r="M7" s="20" t="n">
        <x:f>L7*12</x:f>
        <x:v>0</x:v>
      </x:c>
    </x:row>
    <x:row r="8">
      <x:c r="G8" s="20"/>
      <x:c r="H8" s="24"/>
      <x:c r="I8" s="24"/>
      <x:c r="L8" s="20"/>
      <x:c r="M8" s="20" t="n">
        <x:f>L8*12</x:f>
        <x:v>0</x:v>
      </x:c>
    </x:row>
    <x:row r="9">
      <x:c r="G9" s="20"/>
      <x:c r="H9" s="24"/>
      <x:c r="I9" s="24"/>
      <x:c r="L9" s="20"/>
      <x:c r="M9" s="20" t="n">
        <x:f>L9*12</x:f>
        <x:v>0</x:v>
      </x:c>
    </x:row>
    <x:row r="10">
      <x:c r="G10" s="20"/>
      <x:c r="H10" s="24"/>
      <x:c r="I10" s="24"/>
      <x:c r="L10" s="20"/>
      <x:c r="M10" s="20" t="n">
        <x:f>L10*12</x:f>
        <x:v>0</x:v>
      </x:c>
    </x:row>
    <x:row r="11">
      <x:c r="G11" s="20"/>
      <x:c r="H11" s="24"/>
      <x:c r="I11" s="24"/>
      <x:c r="L11" s="20"/>
      <x:c r="M11" s="20" t="n">
        <x:f>L11*12</x:f>
        <x:v>0</x:v>
      </x:c>
    </x:row>
    <x:row r="12">
      <x:c r="G12" s="20"/>
      <x:c r="H12" s="24"/>
      <x:c r="I12" s="24"/>
      <x:c r="L12" s="20"/>
      <x:c r="M12" s="20" t="n">
        <x:f>L12*12</x:f>
        <x:v>0</x:v>
      </x:c>
    </x:row>
    <x:row r="13">
      <x:c r="G13" s="20"/>
      <x:c r="H13" s="24"/>
      <x:c r="I13" s="24"/>
      <x:c r="L13" s="20"/>
      <x:c r="M13" s="20" t="n">
        <x:f>L13*12</x:f>
        <x:v>0</x:v>
      </x:c>
    </x:row>
    <x:row r="14">
      <x:c r="G14" s="20"/>
      <x:c r="H14" s="24"/>
      <x:c r="I14" s="24"/>
      <x:c r="L14" s="20"/>
      <x:c r="M14" s="20" t="n">
        <x:f>L14*12</x:f>
        <x:v>0</x:v>
      </x:c>
    </x:row>
    <x:row r="15">
      <x:c r="G15" s="20"/>
      <x:c r="H15" s="24"/>
      <x:c r="I15" s="24"/>
      <x:c r="L15" s="20"/>
      <x:c r="M15" s="20" t="n">
        <x:f>L15*12</x:f>
        <x:v>0</x:v>
      </x:c>
    </x:row>
    <x:row r="16">
      <x:c r="G16" s="20"/>
      <x:c r="H16" s="24"/>
      <x:c r="I16" s="24"/>
      <x:c r="L16" s="20"/>
      <x:c r="M16" s="20" t="n">
        <x:f>L16*12</x:f>
        <x:v>0</x:v>
      </x:c>
    </x:row>
    <x:row r="17">
      <x:c r="G17" s="20"/>
      <x:c r="H17" s="24"/>
      <x:c r="I17" s="24"/>
      <x:c r="L17" s="20"/>
      <x:c r="M17" s="20" t="n">
        <x:f>L17*12</x:f>
        <x:v>0</x:v>
      </x:c>
    </x:row>
    <x:row r="18">
      <x:c r="G18" s="20"/>
      <x:c r="H18" s="24"/>
      <x:c r="I18" s="24"/>
      <x:c r="L18" s="20"/>
      <x:c r="M18" s="20" t="n">
        <x:f>L18*12</x:f>
        <x:v>0</x:v>
      </x:c>
    </x:row>
    <x:row r="19">
      <x:c r="G19" s="20"/>
      <x:c r="H19" s="24"/>
      <x:c r="I19" s="24"/>
      <x:c r="L19" s="20"/>
      <x:c r="M19" s="20" t="n">
        <x:f>L19*12</x:f>
        <x:v>0</x:v>
      </x:c>
    </x:row>
    <x:row r="20">
      <x:c r="G20" s="20"/>
      <x:c r="H20" s="24"/>
      <x:c r="I20" s="24"/>
      <x:c r="L20" s="20"/>
      <x:c r="M20" s="20" t="n">
        <x:f>L20*12</x:f>
        <x:v>0</x:v>
      </x:c>
    </x:row>
    <x:row r="21">
      <x:c r="G21" s="20"/>
      <x:c r="H21" s="24"/>
      <x:c r="I21" s="24"/>
      <x:c r="L21" s="20"/>
      <x:c r="M21" s="20" t="n">
        <x:f>L21*12</x:f>
        <x:v>0</x:v>
      </x:c>
    </x:row>
    <x:row r="22">
      <x:c r="G22" s="20"/>
      <x:c r="H22" s="24"/>
      <x:c r="I22" s="24"/>
      <x:c r="L22" s="20"/>
      <x:c r="M22" s="20" t="n">
        <x:f>L22*12</x:f>
        <x:v>0</x:v>
      </x:c>
    </x:row>
    <x:row r="23">
      <x:c r="G23" s="20"/>
      <x:c r="H23" s="24"/>
      <x:c r="I23" s="24"/>
      <x:c r="L23" s="20"/>
      <x:c r="M23" s="20" t="n">
        <x:f>L23*12</x:f>
        <x:v>0</x:v>
      </x:c>
    </x:row>
    <x:row r="24">
      <x:c r="G24" s="20"/>
      <x:c r="H24" s="24"/>
      <x:c r="I24" s="24"/>
      <x:c r="L24" s="20"/>
      <x:c r="M24" s="20" t="n">
        <x:f>L24*12</x:f>
        <x:v>0</x:v>
      </x:c>
    </x:row>
    <x:row r="25">
      <x:c r="G25" s="20"/>
      <x:c r="H25" s="24"/>
      <x:c r="I25" s="24"/>
      <x:c r="L25" s="20"/>
      <x:c r="M25" s="20" t="n">
        <x:f>L25*12</x:f>
        <x:v>0</x:v>
      </x:c>
    </x:row>
    <x:row r="26">
      <x:c r="G26" s="20"/>
      <x:c r="H26" s="24"/>
      <x:c r="I26" s="24"/>
      <x:c r="L26" s="20"/>
      <x:c r="M26" s="20" t="n">
        <x:f>L26*12</x:f>
        <x:v>0</x:v>
      </x:c>
    </x:row>
    <x:row r="27">
      <x:c r="G27" s="20"/>
      <x:c r="H27" s="24"/>
      <x:c r="I27" s="24"/>
      <x:c r="L27" s="20"/>
      <x:c r="M27" s="20" t="n">
        <x:f>L27*12</x:f>
        <x:v>0</x:v>
      </x:c>
    </x:row>
    <x:row r="28">
      <x:c r="G28" s="20"/>
      <x:c r="H28" s="24"/>
      <x:c r="I28" s="24"/>
      <x:c r="L28" s="20"/>
      <x:c r="M28" s="20" t="n">
        <x:f>L28*12</x:f>
        <x:v>0</x:v>
      </x:c>
    </x:row>
    <x:row r="29">
      <x:c r="G29" s="20"/>
      <x:c r="H29" s="24"/>
      <x:c r="I29" s="24"/>
      <x:c r="L29" s="20"/>
      <x:c r="M29" s="20" t="n">
        <x:f>L29*12</x:f>
        <x:v>0</x:v>
      </x:c>
    </x:row>
    <x:row r="30">
      <x:c r="G30" s="20"/>
      <x:c r="H30" s="24"/>
      <x:c r="I30" s="24"/>
      <x:c r="L30" s="20"/>
      <x:c r="M30" s="20" t="n">
        <x:f>L30*12</x:f>
        <x:v>0</x:v>
      </x:c>
    </x:row>
    <x:row r="31">
      <x:c r="G31" s="20"/>
      <x:c r="H31" s="24"/>
      <x:c r="I31" s="24"/>
      <x:c r="L31" s="20"/>
      <x:c r="M31" s="20" t="n">
        <x:f>L31*12</x:f>
        <x:v>0</x:v>
      </x:c>
    </x:row>
    <x:row r="32">
      <x:c r="G32" s="20"/>
      <x:c r="H32" s="24"/>
      <x:c r="I32" s="24"/>
      <x:c r="L32" s="20"/>
      <x:c r="M32" s="20" t="n">
        <x:f>L32*12</x:f>
        <x:v>0</x:v>
      </x:c>
    </x:row>
    <x:row r="33">
      <x:c r="G33" s="20"/>
      <x:c r="H33" s="24"/>
      <x:c r="I33" s="24"/>
      <x:c r="L33" s="20"/>
      <x:c r="M33" s="20" t="n">
        <x:f>L33*12</x:f>
        <x:v>0</x:v>
      </x:c>
    </x:row>
    <x:row r="34">
      <x:c r="G34" s="20"/>
      <x:c r="H34" s="24"/>
      <x:c r="I34" s="24"/>
      <x:c r="L34" s="20"/>
      <x:c r="M34" s="20" t="n">
        <x:f>L34*12</x:f>
        <x:v>0</x:v>
      </x:c>
    </x:row>
    <x:row r="35">
      <x:c r="G35" s="20"/>
      <x:c r="H35" s="24"/>
      <x:c r="I35" s="24"/>
      <x:c r="L35" s="20"/>
      <x:c r="M35" s="20" t="n">
        <x:f>L35*12</x:f>
        <x:v>0</x:v>
      </x:c>
    </x:row>
    <x:row r="36">
      <x:c r="G36" s="20"/>
      <x:c r="H36" s="24"/>
      <x:c r="I36" s="24"/>
      <x:c r="L36" s="20"/>
      <x:c r="M36" s="20" t="n">
        <x:f>L36*12</x:f>
        <x:v>0</x:v>
      </x:c>
    </x:row>
    <x:row r="37">
      <x:c r="G37" s="20"/>
      <x:c r="H37" s="24"/>
      <x:c r="I37" s="24"/>
      <x:c r="L37" s="20"/>
      <x:c r="M37" s="20" t="n">
        <x:f>L37*12</x:f>
        <x:v>0</x:v>
      </x:c>
    </x:row>
    <x:row r="38">
      <x:c r="G38" s="20"/>
      <x:c r="H38" s="24"/>
      <x:c r="I38" s="24"/>
      <x:c r="L38" s="20"/>
      <x:c r="M38" s="20" t="n">
        <x:f>L38*12</x:f>
        <x:v>0</x:v>
      </x:c>
    </x:row>
    <x:row r="39">
      <x:c r="G39" s="20"/>
      <x:c r="H39" s="24"/>
      <x:c r="I39" s="24"/>
      <x:c r="L39" s="20"/>
      <x:c r="M39" s="20" t="n">
        <x:f>L39*12</x:f>
        <x:v>0</x:v>
      </x:c>
    </x:row>
    <x:row r="40">
      <x:c r="G40" s="20"/>
      <x:c r="H40" s="24"/>
      <x:c r="I40" s="24"/>
      <x:c r="L40" s="20"/>
      <x:c r="M40" s="20" t="n">
        <x:f>L40*12</x:f>
        <x:v>0</x:v>
      </x:c>
    </x:row>
    <x:row r="41">
      <x:c r="G41" s="20"/>
      <x:c r="H41" s="24"/>
      <x:c r="I41" s="24"/>
      <x:c r="L41" s="20"/>
      <x:c r="M41" s="20" t="n">
        <x:f>L41*12</x:f>
        <x:v>0</x:v>
      </x:c>
    </x:row>
    <x:row r="42">
      <x:c r="G42" s="20"/>
      <x:c r="H42" s="24"/>
      <x:c r="I42" s="24"/>
      <x:c r="L42" s="20"/>
      <x:c r="M42" s="20" t="n">
        <x:f>L42*12</x:f>
        <x:v>0</x:v>
      </x:c>
    </x:row>
    <x:row r="43">
      <x:c r="G43" s="20"/>
      <x:c r="H43" s="24"/>
      <x:c r="I43" s="24"/>
      <x:c r="L43" s="20"/>
      <x:c r="M43" s="20" t="n">
        <x:f>L43*12</x:f>
        <x:v>0</x:v>
      </x:c>
    </x:row>
    <x:row r="44">
      <x:c r="G44" s="20"/>
      <x:c r="H44" s="24"/>
      <x:c r="I44" s="24"/>
      <x:c r="L44" s="20"/>
      <x:c r="M44" s="20" t="n">
        <x:f>L44*12</x:f>
        <x:v>0</x:v>
      </x:c>
    </x:row>
    <x:row r="45">
      <x:c r="G45" s="20"/>
      <x:c r="H45" s="24"/>
      <x:c r="I45" s="24"/>
      <x:c r="L45" s="20"/>
      <x:c r="M45" s="20" t="n">
        <x:f>L45*12</x:f>
        <x:v>0</x:v>
      </x:c>
    </x:row>
    <x:row r="46">
      <x:c r="G46" s="20"/>
      <x:c r="H46" s="24"/>
      <x:c r="I46" s="24"/>
      <x:c r="L46" s="20"/>
      <x:c r="M46" s="20" t="n">
        <x:f>L46*12</x:f>
        <x:v>0</x:v>
      </x:c>
    </x:row>
    <x:row r="47">
      <x:c r="G47" s="20"/>
      <x:c r="H47" s="24"/>
      <x:c r="I47" s="24"/>
      <x:c r="L47" s="20"/>
      <x:c r="M47" s="20" t="n">
        <x:f>L47*12</x:f>
        <x:v>0</x:v>
      </x:c>
    </x:row>
    <x:row r="48">
      <x:c r="G48" s="20"/>
      <x:c r="H48" s="24"/>
      <x:c r="I48" s="24"/>
      <x:c r="L48" s="20"/>
      <x:c r="M48" s="20" t="n">
        <x:f>L48*12</x:f>
        <x:v>0</x:v>
      </x:c>
    </x:row>
    <x:row r="49">
      <x:c r="G49" s="20"/>
      <x:c r="H49" s="24"/>
      <x:c r="I49" s="24"/>
      <x:c r="L49" s="20"/>
      <x:c r="M49" s="20" t="n">
        <x:f>L49*12</x:f>
        <x:v>0</x:v>
      </x:c>
    </x:row>
    <x:row r="50">
      <x:c r="G50" s="20"/>
      <x:c r="H50" s="24"/>
      <x:c r="I50" s="24"/>
      <x:c r="L50" s="20"/>
      <x:c r="M50" s="20" t="n">
        <x:f>L50*12</x:f>
        <x:v>0</x:v>
      </x:c>
    </x:row>
    <x:row r="51">
      <x:c r="G51" s="20"/>
      <x:c r="H51" s="24"/>
      <x:c r="I51" s="24"/>
      <x:c r="L51" s="20"/>
      <x:c r="M51" s="20" t="n">
        <x:f>L51*12</x:f>
        <x:v>0</x:v>
      </x:c>
    </x:row>
    <x:row r="52">
      <x:c r="G52" s="20"/>
      <x:c r="H52" s="24"/>
      <x:c r="I52" s="24"/>
      <x:c r="L52" s="20"/>
      <x:c r="M52" s="20" t="n">
        <x:f>L52*12</x:f>
        <x:v>0</x:v>
      </x:c>
    </x:row>
    <x:row r="53">
      <x:c r="G53" s="20"/>
      <x:c r="H53" s="24"/>
      <x:c r="I53" s="24"/>
      <x:c r="L53" s="20"/>
      <x:c r="M53" s="20" t="n">
        <x:f>L53*12</x:f>
        <x:v>0</x:v>
      </x:c>
    </x:row>
    <x:row r="54">
      <x:c r="G54" s="20"/>
      <x:c r="H54" s="24"/>
      <x:c r="I54" s="24"/>
      <x:c r="L54" s="20"/>
      <x:c r="M54" s="20" t="n">
        <x:f>L54*12</x:f>
        <x:v>0</x:v>
      </x:c>
    </x:row>
    <x:row r="55">
      <x:c r="G55" s="20"/>
      <x:c r="H55" s="24"/>
      <x:c r="I55" s="24"/>
      <x:c r="L55" s="20"/>
      <x:c r="M55" s="20" t="n">
        <x:f>L55*12</x:f>
        <x:v>0</x:v>
      </x:c>
    </x:row>
    <x:row r="56">
      <x:c r="G56" s="20"/>
      <x:c r="H56" s="24"/>
      <x:c r="I56" s="24"/>
      <x:c r="L56" s="20"/>
      <x:c r="M56" s="20" t="n">
        <x:f>L56*12</x:f>
        <x:v>0</x:v>
      </x:c>
    </x:row>
    <x:row r="57">
      <x:c r="G57" s="20"/>
      <x:c r="H57" s="24"/>
      <x:c r="I57" s="24"/>
      <x:c r="L57" s="20"/>
      <x:c r="M57" s="20" t="n">
        <x:f>L57*12</x:f>
        <x:v>0</x:v>
      </x:c>
    </x:row>
    <x:row r="58">
      <x:c r="G58" s="20"/>
      <x:c r="H58" s="24"/>
      <x:c r="I58" s="24"/>
      <x:c r="L58" s="20"/>
      <x:c r="M58" s="20" t="n">
        <x:f>L58*12</x:f>
        <x:v>0</x:v>
      </x:c>
    </x:row>
    <x:row r="59">
      <x:c r="G59" s="20"/>
      <x:c r="H59" s="24"/>
      <x:c r="I59" s="24"/>
      <x:c r="L59" s="20"/>
      <x:c r="M59" s="20" t="n">
        <x:f>L59*12</x:f>
        <x:v>0</x:v>
      </x:c>
    </x:row>
    <x:row r="60">
      <x:c r="G60" s="20"/>
      <x:c r="H60" s="24"/>
      <x:c r="I60" s="24"/>
      <x:c r="L60" s="20"/>
      <x:c r="M60" s="20" t="n">
        <x:f>L60*12</x:f>
        <x:v>0</x:v>
      </x:c>
    </x:row>
    <x:row r="61">
      <x:c r="G61" s="20"/>
      <x:c r="H61" s="24"/>
      <x:c r="I61" s="24"/>
      <x:c r="L61" s="20"/>
      <x:c r="M61" s="20" t="n">
        <x:f>L61*12</x:f>
        <x:v>0</x:v>
      </x:c>
    </x:row>
    <x:row r="62">
      <x:c r="G62" s="20"/>
      <x:c r="H62" s="24"/>
      <x:c r="I62" s="24"/>
      <x:c r="L62" s="20"/>
      <x:c r="M62" s="20" t="n">
        <x:f>L62*12</x:f>
        <x:v>0</x:v>
      </x:c>
    </x:row>
    <x:row r="63">
      <x:c r="G63" s="20"/>
      <x:c r="H63" s="24"/>
      <x:c r="I63" s="24"/>
      <x:c r="L63" s="20"/>
      <x:c r="M63" s="20" t="n">
        <x:f>L63*12</x:f>
        <x:v>0</x:v>
      </x:c>
    </x:row>
    <x:row r="64">
      <x:c r="G64" s="20"/>
      <x:c r="H64" s="24"/>
      <x:c r="I64" s="24"/>
      <x:c r="L64" s="20"/>
      <x:c r="M64" s="20" t="n">
        <x:f>L64*12</x:f>
        <x:v>0</x:v>
      </x:c>
    </x:row>
    <x:row r="65">
      <x:c r="G65" s="20"/>
      <x:c r="H65" s="24"/>
      <x:c r="I65" s="24"/>
      <x:c r="L65" s="20"/>
      <x:c r="M65" s="20" t="n">
        <x:f>L65*12</x:f>
        <x:v>0</x:v>
      </x:c>
    </x:row>
    <x:row r="66">
      <x:c r="G66" s="20"/>
      <x:c r="H66" s="24"/>
      <x:c r="I66" s="24"/>
      <x:c r="L66" s="20"/>
      <x:c r="M66" s="20" t="n">
        <x:f>L66*12</x:f>
        <x:v>0</x:v>
      </x:c>
    </x:row>
    <x:row r="67">
      <x:c r="G67" s="20"/>
      <x:c r="H67" s="24"/>
      <x:c r="I67" s="24"/>
      <x:c r="L67" s="20"/>
      <x:c r="M67" s="20" t="n">
        <x:f>L67*12</x:f>
        <x:v>0</x:v>
      </x:c>
    </x:row>
    <x:row r="68">
      <x:c r="G68" s="20"/>
      <x:c r="H68" s="24"/>
      <x:c r="I68" s="24"/>
      <x:c r="L68" s="20"/>
      <x:c r="M68" s="20" t="n">
        <x:f>L68*12</x:f>
        <x:v>0</x:v>
      </x:c>
    </x:row>
    <x:row r="69">
      <x:c r="G69" s="20"/>
      <x:c r="H69" s="24"/>
      <x:c r="I69" s="24"/>
      <x:c r="L69" s="20"/>
      <x:c r="M69" s="20" t="n">
        <x:f>L69*12</x:f>
        <x:v>0</x:v>
      </x:c>
    </x:row>
    <x:row r="70">
      <x:c r="G70" s="20"/>
      <x:c r="H70" s="24"/>
      <x:c r="I70" s="24"/>
      <x:c r="L70" s="20"/>
      <x:c r="M70" s="20" t="n">
        <x:f>L70*12</x:f>
        <x:v>0</x:v>
      </x:c>
    </x:row>
    <x:row r="71">
      <x:c r="G71" s="20"/>
      <x:c r="H71" s="24"/>
      <x:c r="I71" s="24"/>
      <x:c r="L71" s="20"/>
      <x:c r="M71" s="20" t="n">
        <x:f>L71*12</x:f>
        <x:v>0</x:v>
      </x:c>
    </x:row>
    <x:row r="72">
      <x:c r="G72" s="20"/>
      <x:c r="H72" s="24"/>
      <x:c r="I72" s="24"/>
      <x:c r="L72" s="20"/>
      <x:c r="M72" s="20" t="n">
        <x:f>L72*12</x:f>
        <x:v>0</x:v>
      </x:c>
    </x:row>
    <x:row r="73">
      <x:c r="G73" s="20"/>
      <x:c r="H73" s="24"/>
      <x:c r="I73" s="24"/>
      <x:c r="L73" s="20"/>
      <x:c r="M73" s="20" t="n">
        <x:f>L73*12</x:f>
        <x:v>0</x:v>
      </x:c>
    </x:row>
    <x:row r="74">
      <x:c r="G74" s="20"/>
      <x:c r="H74" s="24"/>
      <x:c r="I74" s="24"/>
      <x:c r="L74" s="20"/>
      <x:c r="M74" s="20" t="n">
        <x:f>L74*12</x:f>
        <x:v>0</x:v>
      </x:c>
    </x:row>
    <x:row r="75">
      <x:c r="G75" s="20"/>
      <x:c r="H75" s="24"/>
      <x:c r="I75" s="24"/>
      <x:c r="L75" s="20"/>
      <x:c r="M75" s="20" t="n">
        <x:f>L75*12</x:f>
        <x:v>0</x:v>
      </x:c>
    </x:row>
    <x:row r="76">
      <x:c r="G76" s="20"/>
      <x:c r="H76" s="24"/>
      <x:c r="I76" s="24"/>
      <x:c r="L76" s="20"/>
      <x:c r="M76" s="20" t="n">
        <x:f>L76*12</x:f>
        <x:v>0</x:v>
      </x:c>
    </x:row>
    <x:row r="77">
      <x:c r="G77" s="20"/>
      <x:c r="H77" s="24"/>
      <x:c r="I77" s="24"/>
      <x:c r="L77" s="20"/>
      <x:c r="M77" s="20" t="n">
        <x:f>L77*12</x:f>
        <x:v>0</x:v>
      </x:c>
    </x:row>
    <x:row r="78">
      <x:c r="G78" s="20"/>
      <x:c r="H78" s="24"/>
      <x:c r="I78" s="24"/>
      <x:c r="L78" s="20"/>
      <x:c r="M78" s="20" t="n">
        <x:f>L78*12</x:f>
        <x:v>0</x:v>
      </x:c>
    </x:row>
    <x:row r="79">
      <x:c r="G79" s="20"/>
      <x:c r="H79" s="24"/>
      <x:c r="I79" s="24"/>
      <x:c r="L79" s="20"/>
      <x:c r="M79" s="20" t="n">
        <x:f>L79*12</x:f>
        <x:v>0</x:v>
      </x:c>
    </x:row>
    <x:row r="80">
      <x:c r="G80" s="20"/>
      <x:c r="H80" s="24"/>
      <x:c r="I80" s="24"/>
      <x:c r="L80" s="20"/>
      <x:c r="M80" s="20" t="n">
        <x:f>L80*12</x:f>
        <x:v>0</x:v>
      </x:c>
    </x:row>
    <x:row r="81">
      <x:c r="G81" s="20"/>
      <x:c r="H81" s="24"/>
      <x:c r="I81" s="24"/>
      <x:c r="L81" s="20"/>
      <x:c r="M81" s="20" t="n">
        <x:f>L81*12</x:f>
        <x:v>0</x:v>
      </x:c>
    </x:row>
    <x:row r="82">
      <x:c r="G82" s="20"/>
      <x:c r="H82" s="24"/>
      <x:c r="I82" s="24"/>
      <x:c r="L82" s="20"/>
      <x:c r="M82" s="20" t="n">
        <x:f>L82*12</x:f>
        <x:v>0</x:v>
      </x:c>
    </x:row>
    <x:row r="83">
      <x:c r="G83" s="20"/>
      <x:c r="H83" s="24"/>
      <x:c r="I83" s="24"/>
      <x:c r="L83" s="20"/>
      <x:c r="M83" s="20" t="n">
        <x:f>L83*12</x:f>
        <x:v>0</x:v>
      </x:c>
    </x:row>
    <x:row r="84">
      <x:c r="G84" s="20"/>
      <x:c r="H84" s="24"/>
      <x:c r="I84" s="24"/>
      <x:c r="L84" s="20"/>
      <x:c r="M84" s="20" t="n">
        <x:f>L84*12</x:f>
        <x:v>0</x:v>
      </x:c>
    </x:row>
    <x:row r="85">
      <x:c r="G85" s="20"/>
      <x:c r="H85" s="24"/>
      <x:c r="I85" s="24"/>
      <x:c r="L85" s="20"/>
      <x:c r="M85" s="20" t="n">
        <x:f>L85*12</x:f>
        <x:v>0</x:v>
      </x:c>
    </x:row>
    <x:row r="86">
      <x:c r="G86" s="20"/>
      <x:c r="H86" s="24"/>
      <x:c r="I86" s="24"/>
      <x:c r="L86" s="20"/>
      <x:c r="M86" s="20" t="n">
        <x:f>L86*12</x:f>
        <x:v>0</x:v>
      </x:c>
    </x:row>
    <x:row r="87">
      <x:c r="G87" s="20"/>
      <x:c r="H87" s="24"/>
      <x:c r="I87" s="24"/>
      <x:c r="L87" s="20"/>
      <x:c r="M87" s="20" t="n">
        <x:f>L87*12</x:f>
        <x:v>0</x:v>
      </x:c>
    </x:row>
    <x:row r="88">
      <x:c r="G88" s="20"/>
      <x:c r="H88" s="24"/>
      <x:c r="I88" s="24"/>
      <x:c r="L88" s="20"/>
      <x:c r="M88" s="20" t="n">
        <x:f>L88*12</x:f>
        <x:v>0</x:v>
      </x:c>
    </x:row>
    <x:row r="89">
      <x:c r="G89" s="20"/>
      <x:c r="H89" s="24"/>
      <x:c r="I89" s="24"/>
      <x:c r="L89" s="20"/>
      <x:c r="M89" s="20" t="n">
        <x:f>L89*12</x:f>
        <x:v>0</x:v>
      </x:c>
    </x:row>
    <x:row r="90">
      <x:c r="G90" s="20"/>
      <x:c r="H90" s="24"/>
      <x:c r="I90" s="24"/>
      <x:c r="L90" s="20"/>
      <x:c r="M90" s="20" t="n">
        <x:f>L90*12</x:f>
        <x:v>0</x:v>
      </x:c>
    </x:row>
    <x:row r="91">
      <x:c r="G91" s="20"/>
      <x:c r="H91" s="24"/>
      <x:c r="I91" s="24"/>
      <x:c r="L91" s="20"/>
      <x:c r="M91" s="20" t="n">
        <x:f>L91*12</x:f>
        <x:v>0</x:v>
      </x:c>
    </x:row>
    <x:row r="92">
      <x:c r="G92" s="20"/>
      <x:c r="H92" s="24"/>
      <x:c r="I92" s="24"/>
      <x:c r="L92" s="20"/>
      <x:c r="M92" s="20" t="n">
        <x:f>L92*12</x:f>
        <x:v>0</x:v>
      </x:c>
    </x:row>
    <x:row r="93">
      <x:c r="G93" s="20"/>
      <x:c r="H93" s="24"/>
      <x:c r="I93" s="24"/>
      <x:c r="L93" s="20"/>
      <x:c r="M93" s="20" t="n">
        <x:f>L93*12</x:f>
        <x:v>0</x:v>
      </x:c>
    </x:row>
    <x:row r="94">
      <x:c r="G94" s="20"/>
      <x:c r="H94" s="24"/>
      <x:c r="I94" s="24"/>
      <x:c r="L94" s="20"/>
      <x:c r="M94" s="20" t="n">
        <x:f>L94*12</x:f>
        <x:v>0</x:v>
      </x:c>
    </x:row>
    <x:row r="95">
      <x:c r="G95" s="20"/>
      <x:c r="H95" s="24"/>
      <x:c r="I95" s="24"/>
      <x:c r="L95" s="20"/>
      <x:c r="M95" s="20" t="n">
        <x:f>L95*12</x:f>
        <x:v>0</x:v>
      </x:c>
    </x:row>
    <x:row r="96">
      <x:c r="G96" s="20"/>
      <x:c r="H96" s="24"/>
      <x:c r="I96" s="24"/>
      <x:c r="L96" s="20"/>
      <x:c r="M96" s="20" t="n">
        <x:f>L96*12</x:f>
        <x:v>0</x:v>
      </x:c>
    </x:row>
    <x:row r="97">
      <x:c r="G97" s="20"/>
      <x:c r="H97" s="24"/>
      <x:c r="I97" s="24"/>
      <x:c r="L97" s="20"/>
      <x:c r="M97" s="20" t="n">
        <x:f>L97*12</x:f>
        <x:v>0</x:v>
      </x:c>
    </x:row>
    <x:row r="98">
      <x:c r="G98" s="20"/>
      <x:c r="H98" s="24"/>
      <x:c r="I98" s="24"/>
      <x:c r="L98" s="20"/>
      <x:c r="M98" s="20" t="n">
        <x:f>L98*12</x:f>
        <x:v>0</x:v>
      </x:c>
    </x:row>
    <x:row r="99">
      <x:c r="G99" s="20"/>
      <x:c r="H99" s="24"/>
      <x:c r="I99" s="24"/>
      <x:c r="L99" s="20"/>
      <x:c r="M99" s="20" t="n">
        <x:f>L99*12</x:f>
        <x:v>0</x:v>
      </x:c>
    </x:row>
    <x:row r="100">
      <x:c r="G100" s="20"/>
      <x:c r="H100" s="24"/>
      <x:c r="I100" s="24"/>
      <x:c r="L100" s="20"/>
      <x:c r="M100" s="20" t="n">
        <x:f>L100*12</x:f>
        <x:v>0</x:v>
      </x:c>
    </x:row>
    <x:row r="101">
      <x:c r="G101" s="20"/>
      <x:c r="H101" s="24"/>
      <x:c r="I101" s="24"/>
      <x:c r="L101" s="20"/>
      <x:c r="M101" s="20" t="n">
        <x:f>L101*12</x:f>
        <x:v>0</x:v>
      </x:c>
    </x:row>
    <x:row r="102">
      <x:c r="G102" s="20"/>
      <x:c r="H102" s="24"/>
      <x:c r="I102" s="24"/>
      <x:c r="L102" s="20"/>
      <x:c r="M102" s="20" t="n">
        <x:f>L102*12</x:f>
        <x:v>0</x:v>
      </x:c>
    </x:row>
    <x:row r="103">
      <x:c r="G103" s="20"/>
      <x:c r="H103" s="24"/>
      <x:c r="I103" s="24"/>
      <x:c r="L103" s="20"/>
      <x:c r="M103" s="20" t="n">
        <x:f>L103*12</x:f>
        <x:v>0</x:v>
      </x:c>
    </x:row>
    <x:row r="104">
      <x:c r="G104" s="20"/>
      <x:c r="H104" s="24"/>
      <x:c r="I104" s="24"/>
      <x:c r="L104" s="20"/>
      <x:c r="M104" s="20" t="n">
        <x:f>L104*12</x:f>
        <x:v>0</x:v>
      </x:c>
    </x:row>
    <x:row r="105">
      <x:c r="G105" s="20"/>
      <x:c r="H105" s="24"/>
      <x:c r="I105" s="24"/>
      <x:c r="L105" s="20"/>
      <x:c r="M105" s="20" t="n">
        <x:f>L105*12</x:f>
        <x:v>0</x:v>
      </x:c>
    </x:row>
    <x:row r="106">
      <x:c r="G106" s="20"/>
      <x:c r="H106" s="24"/>
      <x:c r="I106" s="24"/>
      <x:c r="L106" s="20"/>
      <x:c r="M106" s="20" t="n">
        <x:f>L106*12</x:f>
        <x:v>0</x:v>
      </x:c>
    </x:row>
    <x:row r="107">
      <x:c r="G107" s="20"/>
      <x:c r="H107" s="24"/>
      <x:c r="I107" s="24"/>
      <x:c r="L107" s="20"/>
      <x:c r="M107" s="20" t="n">
        <x:f>L107*12</x:f>
        <x:v>0</x:v>
      </x:c>
    </x:row>
    <x:row r="108">
      <x:c r="G108" s="20"/>
      <x:c r="H108" s="24"/>
      <x:c r="I108" s="24"/>
      <x:c r="L108" s="20"/>
      <x:c r="M108" s="20" t="n">
        <x:f>L108*12</x:f>
        <x:v>0</x:v>
      </x:c>
    </x:row>
    <x:row r="109">
      <x:c r="G109" s="20"/>
      <x:c r="H109" s="24"/>
      <x:c r="I109" s="24"/>
      <x:c r="L109" s="20"/>
      <x:c r="M109" s="20" t="n">
        <x:f>L109*12</x:f>
        <x:v>0</x:v>
      </x:c>
    </x:row>
    <x:row r="110">
      <x:c r="G110" s="20"/>
      <x:c r="H110" s="24"/>
      <x:c r="I110" s="24"/>
      <x:c r="L110" s="20"/>
      <x:c r="M110" s="20" t="n">
        <x:f>L110*12</x:f>
        <x:v>0</x:v>
      </x:c>
    </x:row>
    <x:row r="111">
      <x:c r="G111" s="20"/>
      <x:c r="H111" s="24"/>
      <x:c r="I111" s="24"/>
      <x:c r="L111" s="20"/>
      <x:c r="M111" s="20" t="n">
        <x:f>L111*12</x:f>
        <x:v>0</x:v>
      </x:c>
    </x:row>
    <x:row r="112">
      <x:c r="G112" s="20"/>
      <x:c r="H112" s="24"/>
      <x:c r="I112" s="24"/>
      <x:c r="L112" s="20"/>
      <x:c r="M112" s="20" t="n">
        <x:f>L112*12</x:f>
        <x:v>0</x:v>
      </x:c>
    </x:row>
    <x:row r="113">
      <x:c r="G113" s="20"/>
      <x:c r="H113" s="24"/>
      <x:c r="I113" s="24"/>
      <x:c r="L113" s="20"/>
      <x:c r="M113" s="20" t="n">
        <x:f>L113*12</x:f>
        <x:v>0</x:v>
      </x:c>
    </x:row>
    <x:row r="114">
      <x:c r="G114" s="20"/>
      <x:c r="H114" s="24"/>
      <x:c r="I114" s="24"/>
      <x:c r="L114" s="20"/>
      <x:c r="M114" s="20" t="n">
        <x:f>L114*12</x:f>
        <x:v>0</x:v>
      </x:c>
    </x:row>
    <x:row r="115">
      <x:c r="G115" s="20"/>
      <x:c r="H115" s="24"/>
      <x:c r="I115" s="24"/>
      <x:c r="L115" s="20"/>
      <x:c r="M115" s="20" t="n">
        <x:f>L115*12</x:f>
        <x:v>0</x:v>
      </x:c>
    </x:row>
    <x:row r="116">
      <x:c r="G116" s="20"/>
      <x:c r="H116" s="24"/>
      <x:c r="I116" s="24"/>
      <x:c r="L116" s="20"/>
      <x:c r="M116" s="20" t="n">
        <x:f>L116*12</x:f>
        <x:v>0</x:v>
      </x:c>
    </x:row>
    <x:row r="117">
      <x:c r="G117" s="20"/>
      <x:c r="H117" s="24"/>
      <x:c r="I117" s="24"/>
      <x:c r="L117" s="20"/>
      <x:c r="M117" s="20" t="n">
        <x:f>L117*12</x:f>
        <x:v>0</x:v>
      </x:c>
    </x:row>
    <x:row r="118">
      <x:c r="G118" s="20"/>
      <x:c r="H118" s="24"/>
      <x:c r="I118" s="24"/>
      <x:c r="L118" s="20"/>
      <x:c r="M118" s="20" t="n">
        <x:f>L118*12</x:f>
        <x:v>0</x:v>
      </x:c>
    </x:row>
    <x:row r="119">
      <x:c r="G119" s="20"/>
      <x:c r="H119" s="24"/>
      <x:c r="I119" s="24"/>
      <x:c r="L119" s="20"/>
      <x:c r="M119" s="20" t="n">
        <x:f>L119*12</x:f>
        <x:v>0</x:v>
      </x:c>
    </x:row>
    <x:row r="120">
      <x:c r="G120" s="20"/>
      <x:c r="H120" s="24"/>
      <x:c r="I120" s="24"/>
      <x:c r="L120" s="20"/>
      <x:c r="M120" s="20" t="n">
        <x:f>L120*12</x:f>
        <x:v>0</x:v>
      </x:c>
    </x:row>
    <x:row r="121">
      <x:c r="G121" s="20"/>
      <x:c r="H121" s="24"/>
      <x:c r="I121" s="24"/>
      <x:c r="L121" s="20"/>
      <x:c r="M121" s="20" t="n">
        <x:f>L121*12</x:f>
        <x:v>0</x:v>
      </x:c>
    </x:row>
    <x:row r="122">
      <x:c r="G122" s="20"/>
      <x:c r="H122" s="24"/>
      <x:c r="I122" s="24"/>
      <x:c r="L122" s="20"/>
      <x:c r="M122" s="20" t="n">
        <x:f>L122*12</x:f>
        <x:v>0</x:v>
      </x:c>
    </x:row>
    <x:row r="123">
      <x:c r="G123" s="20"/>
      <x:c r="H123" s="24"/>
      <x:c r="I123" s="24"/>
      <x:c r="L123" s="20"/>
      <x:c r="M123" s="20" t="n">
        <x:f>L123*12</x:f>
        <x:v>0</x:v>
      </x:c>
    </x:row>
    <x:row r="124">
      <x:c r="G124" s="20"/>
      <x:c r="H124" s="24"/>
      <x:c r="I124" s="24"/>
      <x:c r="L124" s="20"/>
      <x:c r="M124" s="20" t="n">
        <x:f>L124*12</x:f>
        <x:v>0</x:v>
      </x:c>
    </x:row>
    <x:row r="125">
      <x:c r="G125" s="20"/>
      <x:c r="H125" s="24"/>
      <x:c r="I125" s="24"/>
      <x:c r="L125" s="20"/>
      <x:c r="M125" s="20" t="n">
        <x:f>L125*12</x:f>
        <x:v>0</x:v>
      </x:c>
    </x:row>
    <x:row r="126">
      <x:c r="G126" s="20"/>
      <x:c r="H126" s="24"/>
      <x:c r="I126" s="24"/>
      <x:c r="L126" s="20"/>
      <x:c r="M126" s="20" t="n">
        <x:f>L126*12</x:f>
        <x:v>0</x:v>
      </x:c>
    </x:row>
    <x:row r="127">
      <x:c r="G127" s="20"/>
      <x:c r="H127" s="24"/>
      <x:c r="I127" s="24"/>
      <x:c r="L127" s="20"/>
      <x:c r="M127" s="20" t="n">
        <x:f>L127*12</x:f>
        <x:v>0</x:v>
      </x:c>
    </x:row>
    <x:row r="128">
      <x:c r="G128" s="20"/>
      <x:c r="H128" s="24"/>
      <x:c r="I128" s="24"/>
      <x:c r="L128" s="20"/>
      <x:c r="M128" s="20" t="n">
        <x:f>L128*12</x:f>
        <x:v>0</x:v>
      </x:c>
    </x:row>
    <x:row r="129">
      <x:c r="G129" s="20"/>
      <x:c r="H129" s="24"/>
      <x:c r="I129" s="24"/>
      <x:c r="L129" s="20"/>
      <x:c r="M129" s="20" t="n">
        <x:f>L129*12</x:f>
        <x:v>0</x:v>
      </x:c>
    </x:row>
    <x:row r="130">
      <x:c r="G130" s="20"/>
      <x:c r="H130" s="24"/>
      <x:c r="I130" s="24"/>
      <x:c r="L130" s="20"/>
      <x:c r="M130" s="20" t="n">
        <x:f>L130*12</x:f>
        <x:v>0</x:v>
      </x:c>
    </x:row>
    <x:row r="131">
      <x:c r="G131" s="20"/>
      <x:c r="H131" s="24"/>
      <x:c r="I131" s="24"/>
      <x:c r="L131" s="20"/>
      <x:c r="M131" s="20" t="n">
        <x:f>L131*12</x:f>
        <x:v>0</x:v>
      </x:c>
    </x:row>
    <x:row r="132">
      <x:c r="G132" s="20"/>
      <x:c r="H132" s="24"/>
      <x:c r="I132" s="24"/>
      <x:c r="L132" s="20"/>
      <x:c r="M132" s="20" t="n">
        <x:f>L132*12</x:f>
        <x:v>0</x:v>
      </x:c>
    </x:row>
    <x:row r="133">
      <x:c r="G133" s="20"/>
      <x:c r="H133" s="24"/>
      <x:c r="I133" s="24"/>
      <x:c r="L133" s="20"/>
      <x:c r="M133" s="20" t="n">
        <x:f>L133*12</x:f>
        <x:v>0</x:v>
      </x:c>
    </x:row>
    <x:row r="134">
      <x:c r="G134" s="20"/>
      <x:c r="H134" s="24"/>
      <x:c r="I134" s="24"/>
      <x:c r="L134" s="20"/>
      <x:c r="M134" s="20" t="n">
        <x:f>L134*12</x:f>
        <x:v>0</x:v>
      </x:c>
    </x:row>
    <x:row r="135">
      <x:c r="G135" s="20"/>
      <x:c r="H135" s="24"/>
      <x:c r="I135" s="24"/>
      <x:c r="L135" s="20"/>
      <x:c r="M135" s="20" t="n">
        <x:f>L135*12</x:f>
        <x:v>0</x:v>
      </x:c>
    </x:row>
    <x:row r="136">
      <x:c r="G136" s="20"/>
      <x:c r="H136" s="24"/>
      <x:c r="I136" s="24"/>
      <x:c r="L136" s="20"/>
      <x:c r="M136" s="20" t="n">
        <x:f>L136*12</x:f>
        <x:v>0</x:v>
      </x:c>
    </x:row>
    <x:row r="137">
      <x:c r="G137" s="20"/>
      <x:c r="H137" s="24"/>
      <x:c r="I137" s="24"/>
      <x:c r="L137" s="20"/>
      <x:c r="M137" s="20" t="n">
        <x:f>L137*12</x:f>
        <x:v>0</x:v>
      </x:c>
    </x:row>
    <x:row r="138">
      <x:c r="G138" s="20"/>
      <x:c r="H138" s="24"/>
      <x:c r="I138" s="24"/>
      <x:c r="L138" s="20"/>
      <x:c r="M138" s="20" t="n">
        <x:f>L138*12</x:f>
        <x:v>0</x:v>
      </x:c>
    </x:row>
    <x:row r="139">
      <x:c r="G139" s="20"/>
      <x:c r="H139" s="24"/>
      <x:c r="I139" s="24"/>
      <x:c r="L139" s="20"/>
      <x:c r="M139" s="20" t="n">
        <x:f>L139*12</x:f>
        <x:v>0</x:v>
      </x:c>
    </x:row>
    <x:row r="140">
      <x:c r="G140" s="20"/>
      <x:c r="H140" s="24"/>
      <x:c r="I140" s="24"/>
      <x:c r="L140" s="20"/>
      <x:c r="M140" s="20" t="n">
        <x:f>L140*12</x:f>
        <x:v>0</x:v>
      </x:c>
    </x:row>
    <x:row r="141">
      <x:c r="G141" s="20"/>
      <x:c r="H141" s="24"/>
      <x:c r="I141" s="24"/>
      <x:c r="L141" s="20"/>
      <x:c r="M141" s="20" t="n">
        <x:f>L141*12</x:f>
        <x:v>0</x:v>
      </x:c>
    </x:row>
    <x:row r="142">
      <x:c r="G142" s="20"/>
      <x:c r="H142" s="24"/>
      <x:c r="I142" s="24"/>
      <x:c r="L142" s="20"/>
      <x:c r="M142" s="20" t="n">
        <x:f>L142*12</x:f>
        <x:v>0</x:v>
      </x:c>
    </x:row>
    <x:row r="143">
      <x:c r="G143" s="20"/>
      <x:c r="H143" s="24"/>
      <x:c r="I143" s="24"/>
      <x:c r="L143" s="20"/>
      <x:c r="M143" s="20" t="n">
        <x:f>L143*12</x:f>
        <x:v>0</x:v>
      </x:c>
    </x:row>
    <x:row r="144">
      <x:c r="G144" s="20"/>
      <x:c r="H144" s="24"/>
      <x:c r="I144" s="24"/>
      <x:c r="L144" s="20"/>
      <x:c r="M144" s="20" t="n">
        <x:f>L144*12</x:f>
        <x:v>0</x:v>
      </x:c>
    </x:row>
    <x:row r="145">
      <x:c r="G145" s="20"/>
      <x:c r="H145" s="24"/>
      <x:c r="I145" s="24"/>
      <x:c r="L145" s="20"/>
      <x:c r="M145" s="20" t="n">
        <x:f>L145*12</x:f>
        <x:v>0</x:v>
      </x:c>
    </x:row>
    <x:row r="146">
      <x:c r="G146" s="20"/>
      <x:c r="H146" s="24"/>
      <x:c r="I146" s="24"/>
      <x:c r="L146" s="20"/>
      <x:c r="M146" s="20" t="n">
        <x:f>L146*12</x:f>
        <x:v>0</x:v>
      </x:c>
    </x:row>
    <x:row r="147">
      <x:c r="G147" s="20"/>
      <x:c r="H147" s="24"/>
      <x:c r="I147" s="24"/>
      <x:c r="L147" s="20"/>
      <x:c r="M147" s="20" t="n">
        <x:f>L147*12</x:f>
        <x:v>0</x:v>
      </x:c>
    </x:row>
    <x:row r="148">
      <x:c r="G148" s="20"/>
      <x:c r="H148" s="24"/>
      <x:c r="I148" s="24"/>
      <x:c r="L148" s="20"/>
      <x:c r="M148" s="20" t="n">
        <x:f>L148*12</x:f>
        <x:v>0</x:v>
      </x:c>
    </x:row>
    <x:row r="149">
      <x:c r="G149" s="20"/>
      <x:c r="H149" s="24"/>
      <x:c r="I149" s="24"/>
      <x:c r="L149" s="20"/>
      <x:c r="M149" s="20" t="n">
        <x:f>L149*12</x:f>
        <x:v>0</x:v>
      </x:c>
    </x:row>
    <x:row r="150">
      <x:c r="G150" s="20"/>
      <x:c r="H150" s="24"/>
      <x:c r="I150" s="24"/>
      <x:c r="L150" s="20"/>
      <x:c r="M150" s="20" t="n">
        <x:f>L150*12</x:f>
        <x:v>0</x:v>
      </x:c>
    </x:row>
    <x:row r="151">
      <x:c r="G151" s="20"/>
      <x:c r="H151" s="24"/>
      <x:c r="I151" s="24"/>
      <x:c r="L151" s="20"/>
      <x:c r="M151" s="20" t="n">
        <x:f>L151*12</x:f>
        <x:v>0</x:v>
      </x:c>
    </x:row>
    <x:row r="152">
      <x:c r="G152" s="20"/>
      <x:c r="H152" s="24"/>
      <x:c r="I152" s="24"/>
      <x:c r="L152" s="20"/>
      <x:c r="M152" s="20" t="n">
        <x:f>L152*12</x:f>
        <x:v>0</x:v>
      </x:c>
    </x:row>
    <x:row r="153">
      <x:c r="G153" s="20"/>
      <x:c r="H153" s="24"/>
      <x:c r="I153" s="24"/>
      <x:c r="L153" s="20"/>
      <x:c r="M153" s="20" t="n">
        <x:f>L153*12</x:f>
        <x:v>0</x:v>
      </x:c>
    </x:row>
    <x:row r="154">
      <x:c r="G154" s="20"/>
      <x:c r="H154" s="24"/>
      <x:c r="I154" s="24"/>
      <x:c r="L154" s="20"/>
      <x:c r="M154" s="20" t="n">
        <x:f>L154*12</x:f>
        <x:v>0</x:v>
      </x:c>
    </x:row>
    <x:row r="155">
      <x:c r="G155" s="20"/>
      <x:c r="H155" s="24"/>
      <x:c r="I155" s="24"/>
      <x:c r="L155" s="20"/>
      <x:c r="M155" s="20" t="n">
        <x:f>L155*12</x:f>
        <x:v>0</x:v>
      </x:c>
    </x:row>
    <x:row r="156">
      <x:c r="G156" s="20"/>
      <x:c r="H156" s="24"/>
      <x:c r="I156" s="24"/>
      <x:c r="L156" s="20"/>
      <x:c r="M156" s="20" t="n">
        <x:f>L156*12</x:f>
        <x:v>0</x:v>
      </x:c>
    </x:row>
    <x:row r="157">
      <x:c r="G157" s="20"/>
      <x:c r="H157" s="24"/>
      <x:c r="I157" s="24"/>
      <x:c r="L157" s="20"/>
      <x:c r="M157" s="20" t="n">
        <x:f>L157*12</x:f>
        <x:v>0</x:v>
      </x:c>
    </x:row>
    <x:row r="158">
      <x:c r="G158" s="20"/>
      <x:c r="H158" s="24"/>
      <x:c r="I158" s="24"/>
      <x:c r="L158" s="20"/>
      <x:c r="M158" s="20" t="n">
        <x:f>L158*12</x:f>
        <x:v>0</x:v>
      </x:c>
    </x:row>
    <x:row r="159">
      <x:c r="G159" s="20"/>
      <x:c r="H159" s="24"/>
      <x:c r="I159" s="24"/>
      <x:c r="L159" s="20"/>
      <x:c r="M159" s="20" t="n">
        <x:f>L159*12</x:f>
        <x:v>0</x:v>
      </x:c>
    </x:row>
    <x:row r="160">
      <x:c r="G160" s="20"/>
      <x:c r="H160" s="24"/>
      <x:c r="I160" s="24"/>
      <x:c r="L160" s="20"/>
      <x:c r="M160" s="20" t="n">
        <x:f>L160*12</x:f>
        <x:v>0</x:v>
      </x:c>
    </x:row>
    <x:row r="161">
      <x:c r="G161" s="20"/>
      <x:c r="H161" s="24"/>
      <x:c r="I161" s="24"/>
      <x:c r="L161" s="20"/>
      <x:c r="M161" s="20" t="n">
        <x:f>L161*12</x:f>
        <x:v>0</x:v>
      </x:c>
    </x:row>
    <x:row r="162">
      <x:c r="G162" s="20"/>
      <x:c r="H162" s="24"/>
      <x:c r="I162" s="24"/>
      <x:c r="L162" s="20"/>
      <x:c r="M162" s="20" t="n">
        <x:f>L162*12</x:f>
        <x:v>0</x:v>
      </x:c>
    </x:row>
    <x:row r="163">
      <x:c r="G163" s="20"/>
      <x:c r="H163" s="24"/>
      <x:c r="I163" s="24"/>
      <x:c r="L163" s="20"/>
      <x:c r="M163" s="20" t="n">
        <x:f>L163*12</x:f>
        <x:v>0</x:v>
      </x:c>
    </x:row>
    <x:row r="164">
      <x:c r="G164" s="20"/>
      <x:c r="H164" s="24"/>
      <x:c r="I164" s="24"/>
      <x:c r="L164" s="20"/>
      <x:c r="M164" s="20" t="n">
        <x:f>L164*12</x:f>
        <x:v>0</x:v>
      </x:c>
    </x:row>
    <x:row r="165">
      <x:c r="G165" s="20"/>
      <x:c r="H165" s="24"/>
      <x:c r="I165" s="24"/>
      <x:c r="L165" s="20"/>
      <x:c r="M165" s="20" t="n">
        <x:f>L165*12</x:f>
        <x:v>0</x:v>
      </x:c>
    </x:row>
    <x:row r="166">
      <x:c r="G166" s="20"/>
      <x:c r="H166" s="24"/>
      <x:c r="I166" s="24"/>
      <x:c r="L166" s="20"/>
      <x:c r="M166" s="20" t="n">
        <x:f>L166*12</x:f>
        <x:v>0</x:v>
      </x:c>
    </x:row>
    <x:row r="167">
      <x:c r="G167" s="20"/>
      <x:c r="H167" s="24"/>
      <x:c r="I167" s="24"/>
      <x:c r="L167" s="20"/>
      <x:c r="M167" s="20" t="n">
        <x:f>L167*12</x:f>
        <x:v>0</x:v>
      </x:c>
    </x:row>
    <x:row r="168">
      <x:c r="G168" s="20"/>
      <x:c r="H168" s="24"/>
      <x:c r="I168" s="24"/>
      <x:c r="L168" s="20"/>
      <x:c r="M168" s="20" t="n">
        <x:f>L168*12</x:f>
        <x:v>0</x:v>
      </x:c>
    </x:row>
    <x:row r="169">
      <x:c r="G169" s="20"/>
      <x:c r="H169" s="24"/>
      <x:c r="I169" s="24"/>
      <x:c r="L169" s="20"/>
      <x:c r="M169" s="20" t="n">
        <x:f>L169*12</x:f>
        <x:v>0</x:v>
      </x:c>
    </x:row>
    <x:row r="170">
      <x:c r="G170" s="20"/>
      <x:c r="H170" s="24"/>
      <x:c r="I170" s="24"/>
      <x:c r="L170" s="20"/>
      <x:c r="M170" s="20" t="n">
        <x:f>L170*12</x:f>
        <x:v>0</x:v>
      </x:c>
    </x:row>
    <x:row r="171">
      <x:c r="G171" s="20"/>
      <x:c r="H171" s="24"/>
      <x:c r="I171" s="24"/>
      <x:c r="L171" s="20"/>
      <x:c r="M171" s="20" t="n">
        <x:f>L171*12</x:f>
        <x:v>0</x:v>
      </x:c>
    </x:row>
    <x:row r="172">
      <x:c r="G172" s="20"/>
      <x:c r="H172" s="24"/>
      <x:c r="I172" s="24"/>
      <x:c r="L172" s="20"/>
      <x:c r="M172" s="20" t="n">
        <x:f>L172*12</x:f>
        <x:v>0</x:v>
      </x:c>
    </x:row>
    <x:row r="173">
      <x:c r="G173" s="20"/>
      <x:c r="H173" s="24"/>
      <x:c r="I173" s="24"/>
      <x:c r="L173" s="20"/>
      <x:c r="M173" s="20" t="n">
        <x:f>L173*12</x:f>
        <x:v>0</x:v>
      </x:c>
    </x:row>
    <x:row r="174">
      <x:c r="G174" s="20"/>
      <x:c r="H174" s="24"/>
      <x:c r="I174" s="24"/>
      <x:c r="L174" s="20"/>
      <x:c r="M174" s="20" t="n">
        <x:f>L174*12</x:f>
        <x:v>0</x:v>
      </x:c>
    </x:row>
    <x:row r="175">
      <x:c r="G175" s="20"/>
      <x:c r="H175" s="24"/>
      <x:c r="I175" s="24"/>
      <x:c r="L175" s="20"/>
      <x:c r="M175" s="20" t="n">
        <x:f>L175*12</x:f>
        <x:v>0</x:v>
      </x:c>
    </x:row>
    <x:row r="176">
      <x:c r="G176" s="20"/>
      <x:c r="H176" s="24"/>
      <x:c r="I176" s="24"/>
      <x:c r="L176" s="20"/>
      <x:c r="M176" s="20" t="n">
        <x:f>L176*12</x:f>
        <x:v>0</x:v>
      </x:c>
    </x:row>
    <x:row r="177">
      <x:c r="G177" s="20"/>
      <x:c r="H177" s="24"/>
      <x:c r="I177" s="24"/>
      <x:c r="L177" s="20"/>
      <x:c r="M177" s="20" t="n">
        <x:f>L177*12</x:f>
        <x:v>0</x:v>
      </x:c>
    </x:row>
    <x:row r="178">
      <x:c r="G178" s="20"/>
      <x:c r="H178" s="24"/>
      <x:c r="I178" s="24"/>
      <x:c r="L178" s="20"/>
      <x:c r="M178" s="20" t="n">
        <x:f>L178*12</x:f>
        <x:v>0</x:v>
      </x:c>
    </x:row>
    <x:row r="179">
      <x:c r="G179" s="20"/>
      <x:c r="H179" s="24"/>
      <x:c r="I179" s="24"/>
      <x:c r="L179" s="20"/>
      <x:c r="M179" s="20" t="n">
        <x:f>L179*12</x:f>
        <x:v>0</x:v>
      </x:c>
    </x:row>
    <x:row r="180">
      <x:c r="G180" s="20"/>
      <x:c r="H180" s="24"/>
      <x:c r="I180" s="24"/>
      <x:c r="L180" s="20"/>
      <x:c r="M180" s="20" t="n">
        <x:f>L180*12</x:f>
        <x:v>0</x:v>
      </x:c>
    </x:row>
    <x:row r="181">
      <x:c r="G181" s="20"/>
      <x:c r="H181" s="24"/>
      <x:c r="I181" s="24"/>
      <x:c r="L181" s="20"/>
      <x:c r="M181" s="20" t="n">
        <x:f>L181*12</x:f>
        <x:v>0</x:v>
      </x:c>
    </x:row>
    <x:row r="182">
      <x:c r="G182" s="20"/>
      <x:c r="H182" s="24"/>
      <x:c r="I182" s="24"/>
      <x:c r="L182" s="20"/>
      <x:c r="M182" s="20" t="n">
        <x:f>L182*12</x:f>
        <x:v>0</x:v>
      </x:c>
    </x:row>
    <x:row r="183">
      <x:c r="G183" s="20"/>
      <x:c r="H183" s="24"/>
      <x:c r="I183" s="24"/>
      <x:c r="L183" s="20"/>
      <x:c r="M183" s="20" t="n">
        <x:f>L183*12</x:f>
        <x:v>0</x:v>
      </x:c>
    </x:row>
    <x:row r="184">
      <x:c r="G184" s="20"/>
      <x:c r="H184" s="24"/>
      <x:c r="I184" s="24"/>
      <x:c r="L184" s="20"/>
      <x:c r="M184" s="20" t="n">
        <x:f>L184*12</x:f>
        <x:v>0</x:v>
      </x:c>
    </x:row>
    <x:row r="185">
      <x:c r="G185" s="20"/>
      <x:c r="H185" s="24"/>
      <x:c r="I185" s="24"/>
      <x:c r="L185" s="20"/>
      <x:c r="M185" s="20" t="n">
        <x:f>L185*12</x:f>
        <x:v>0</x:v>
      </x:c>
    </x:row>
    <x:row r="186">
      <x:c r="G186" s="20"/>
      <x:c r="H186" s="24"/>
      <x:c r="I186" s="24"/>
      <x:c r="L186" s="20"/>
      <x:c r="M186" s="20" t="n">
        <x:f>L186*12</x:f>
        <x:v>0</x:v>
      </x:c>
    </x:row>
    <x:row r="187">
      <x:c r="G187" s="20"/>
      <x:c r="H187" s="24"/>
      <x:c r="I187" s="24"/>
      <x:c r="L187" s="20"/>
      <x:c r="M187" s="20" t="n">
        <x:f>L187*12</x:f>
        <x:v>0</x:v>
      </x:c>
    </x:row>
    <x:row r="188">
      <x:c r="G188" s="20"/>
      <x:c r="H188" s="24"/>
      <x:c r="I188" s="24"/>
      <x:c r="L188" s="20"/>
      <x:c r="M188" s="20" t="n">
        <x:f>L188*12</x:f>
        <x:v>0</x:v>
      </x:c>
    </x:row>
    <x:row r="189">
      <x:c r="G189" s="20"/>
      <x:c r="H189" s="24"/>
      <x:c r="I189" s="24"/>
      <x:c r="L189" s="20"/>
      <x:c r="M189" s="20" t="n">
        <x:f>L189*12</x:f>
        <x:v>0</x:v>
      </x:c>
    </x:row>
    <x:row r="190">
      <x:c r="G190" s="20"/>
      <x:c r="H190" s="24"/>
      <x:c r="I190" s="24"/>
      <x:c r="L190" s="20"/>
      <x:c r="M190" s="20" t="n">
        <x:f>L190*12</x:f>
        <x:v>0</x:v>
      </x:c>
    </x:row>
    <x:row r="191">
      <x:c r="G191" s="20"/>
      <x:c r="H191" s="24"/>
      <x:c r="I191" s="24"/>
      <x:c r="L191" s="20"/>
      <x:c r="M191" s="20" t="n">
        <x:f>L191*12</x:f>
        <x:v>0</x:v>
      </x:c>
    </x:row>
    <x:row r="192">
      <x:c r="G192" s="20"/>
      <x:c r="H192" s="24"/>
      <x:c r="I192" s="24"/>
      <x:c r="L192" s="20"/>
      <x:c r="M192" s="20" t="n">
        <x:f>L192*12</x:f>
        <x:v>0</x:v>
      </x:c>
    </x:row>
    <x:row r="193">
      <x:c r="G193" s="20"/>
      <x:c r="H193" s="24"/>
      <x:c r="I193" s="24"/>
      <x:c r="L193" s="20"/>
      <x:c r="M193" s="20" t="n">
        <x:f>L193*12</x:f>
        <x:v>0</x:v>
      </x:c>
    </x:row>
    <x:row r="194">
      <x:c r="G194" s="20"/>
      <x:c r="H194" s="24"/>
      <x:c r="I194" s="24"/>
      <x:c r="L194" s="20"/>
      <x:c r="M194" s="20" t="n">
        <x:f>L194*12</x:f>
        <x:v>0</x:v>
      </x:c>
    </x:row>
    <x:row r="195">
      <x:c r="G195" s="20"/>
      <x:c r="H195" s="24"/>
      <x:c r="I195" s="24"/>
      <x:c r="L195" s="20"/>
      <x:c r="M195" s="20" t="n">
        <x:f>L195*12</x:f>
        <x:v>0</x:v>
      </x:c>
    </x:row>
    <x:row r="196">
      <x:c r="G196" s="20"/>
      <x:c r="H196" s="24"/>
      <x:c r="I196" s="24"/>
      <x:c r="L196" s="20"/>
      <x:c r="M196" s="20" t="n">
        <x:f>L196*12</x:f>
        <x:v>0</x:v>
      </x:c>
    </x:row>
    <x:row r="197">
      <x:c r="G197" s="20"/>
      <x:c r="H197" s="24"/>
      <x:c r="I197" s="24"/>
      <x:c r="L197" s="20"/>
      <x:c r="M197" s="20" t="n">
        <x:f>L197*12</x:f>
        <x:v>0</x:v>
      </x:c>
    </x:row>
    <x:row r="198">
      <x:c r="G198" s="20"/>
      <x:c r="H198" s="24"/>
      <x:c r="I198" s="24"/>
      <x:c r="L198" s="20"/>
      <x:c r="M198" s="20" t="n">
        <x:f>L198*12</x:f>
        <x:v>0</x:v>
      </x:c>
    </x:row>
    <x:row r="199">
      <x:c r="G199" s="20"/>
      <x:c r="H199" s="24"/>
      <x:c r="I199" s="24"/>
      <x:c r="L199" s="20"/>
      <x:c r="M199" s="20" t="n">
        <x:f>L199*12</x:f>
        <x:v>0</x:v>
      </x:c>
    </x:row>
    <x:row r="200">
      <x:c r="G200" s="20"/>
      <x:c r="H200" s="24"/>
      <x:c r="I200" s="24"/>
      <x:c r="L200" s="20"/>
      <x:c r="M200" s="20" t="n">
        <x:f>L200*12</x:f>
        <x:v>0</x:v>
      </x:c>
    </x:row>
  </x:sheetData>
  <x:mergeCells>
    <x:mergeCell ref="A1:Q1"/>
  </x:mergeCells>
  <x:dataValidations count="4">
    <x:dataValidation type="list" sqref="J4:J200">
      <x:formula1>"Yes,No,TBD"</x:formula1>
    </x:dataValidation>
    <x:dataValidation type="list" sqref="N4:N200">
      <x:formula1>"Yes,No,TBD"</x:formula1>
    </x:dataValidation>
    <x:dataValidation type="list" sqref="O4:O200">
      <x:formula1>"Yes,No,TBD"</x:formula1>
    </x:dataValidation>
    <x:dataValidation type="list" sqref="P4:P200">
      <x:formula1>Dropdowns!$E$2:$E$7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7ac93fd68c44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44" t="str">
        <x:v>Snapshots and Backup Cost Review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</x:row>
    <x:row r="3" ht="32" customHeight="1">
      <x:c r="A3" s="6" t="str">
        <x:v>DB Identifier</x:v>
      </x:c>
      <x:c r="B3" s="6" t="str">
        <x:v>Snapshot/Backup Type</x:v>
      </x:c>
      <x:c r="C3" s="6" t="str">
        <x:v>Region</x:v>
      </x:c>
      <x:c r="D3" s="6" t="str">
        <x:v>Created Date</x:v>
      </x:c>
      <x:c r="E3" s="6" t="str">
        <x:v>Size GB</x:v>
      </x:c>
      <x:c r="F3" s="6" t="str">
        <x:v>Monthly Cost</x:v>
      </x:c>
      <x:c r="G3" s="6" t="str">
        <x:v>Environment</x:v>
      </x:c>
      <x:c r="H3" s="6" t="str">
        <x:v>Owner</x:v>
      </x:c>
      <x:c r="I3" s="6" t="str">
        <x:v>Required Retention</x:v>
      </x:c>
      <x:c r="J3" s="6" t="str">
        <x:v>Current Retention</x:v>
      </x:c>
      <x:c r="K3" s="6" t="str">
        <x:v>Cross-Region Copy?</x:v>
      </x:c>
      <x:c r="L3" s="6" t="str">
        <x:v>Compliance Required?</x:v>
      </x:c>
      <x:c r="M3" s="6" t="str">
        <x:v>Deletion Candidate?</x:v>
      </x:c>
      <x:c r="N3" s="6" t="str">
        <x:v>DBA Decision</x:v>
      </x:c>
      <x:c r="O3" s="6" t="str">
        <x:v>Target Cleanup Date</x:v>
      </x:c>
      <x:c r="P3" s="6" t="str">
        <x:v>Expected Monthly Savings</x:v>
      </x:c>
      <x:c r="Q3" s="6" t="str">
        <x:v>Notes</x:v>
      </x:c>
    </x:row>
    <x:row r="4">
      <x:c r="A4" t="str">
        <x:v>prod-orders-db</x:v>
      </x:c>
      <x:c r="B4" t="str">
        <x:v>Manual Snapshot</x:v>
      </x:c>
      <x:c r="C4" t="str">
        <x:v>us-east-1</x:v>
      </x:c>
      <x:c r="D4" s="26" t="str">
        <x:v>2025-12-01</x:v>
      </x:c>
      <x:c r="E4" t="n">
        <x:v>2200</x:v>
      </x:c>
      <x:c r="F4" s="20" t="n">
        <x:v>210</x:v>
      </x:c>
      <x:c r="G4" t="str">
        <x:v>Prod</x:v>
      </x:c>
      <x:c r="H4" t="str">
        <x:v>DBA Team</x:v>
      </x:c>
      <x:c r="I4" t="str">
        <x:v>Annual</x:v>
      </x:c>
      <x:c r="J4" t="str">
        <x:v>Indefinite</x:v>
      </x:c>
      <x:c r="K4" t="str">
        <x:v>No</x:v>
      </x:c>
      <x:c r="L4" t="str">
        <x:v>Yes</x:v>
      </x:c>
      <x:c r="M4" t="str">
        <x:v>No</x:v>
      </x:c>
      <x:c r="N4" t="str">
        <x:v>Hold</x:v>
      </x:c>
      <x:c r="O4" s="26" t="str"/>
      <x:c r="P4" s="20" t="n">
        <x:v>0</x:v>
      </x:c>
      <x:c r="Q4" t="str">
        <x:v>Compliance retention</x:v>
      </x:c>
    </x:row>
    <x:row r="5">
      <x:c r="A5" t="str">
        <x:v>qa-reporting-db</x:v>
      </x:c>
      <x:c r="B5" t="str">
        <x:v>Manual Snapshot</x:v>
      </x:c>
      <x:c r="C5" t="str">
        <x:v>us-east-1</x:v>
      </x:c>
      <x:c r="D5" s="26" t="str">
        <x:v>2025-10-15</x:v>
      </x:c>
      <x:c r="E5" t="n">
        <x:v>500</x:v>
      </x:c>
      <x:c r="F5" s="20" t="n">
        <x:v>48</x:v>
      </x:c>
      <x:c r="G5" t="str">
        <x:v>QA</x:v>
      </x:c>
      <x:c r="H5" t="str">
        <x:v>DBA Team</x:v>
      </x:c>
      <x:c r="I5" t="str">
        <x:v>30 days</x:v>
      </x:c>
      <x:c r="J5" t="str">
        <x:v>Indefinite</x:v>
      </x:c>
      <x:c r="K5" t="str">
        <x:v>No</x:v>
      </x:c>
      <x:c r="L5" t="str">
        <x:v>No</x:v>
      </x:c>
      <x:c r="M5" t="str">
        <x:v>Yes</x:v>
      </x:c>
      <x:c r="N5" t="str">
        <x:v>TBD</x:v>
      </x:c>
      <x:c r="O5" s="26" t="str"/>
      <x:c r="P5" s="20" t="n">
        <x:v>48</x:v>
      </x:c>
      <x:c r="Q5" t="str">
        <x:v>Review for deletion</x:v>
      </x:c>
    </x:row>
    <x:row r="6">
      <x:c r="A6" t="str">
        <x:v>stage-customer-db</x:v>
      </x:c>
      <x:c r="B6" t="str">
        <x:v>Automated Backup</x:v>
      </x:c>
      <x:c r="C6" t="str">
        <x:v>us-east-1</x:v>
      </x:c>
      <x:c r="D6" s="26" t="str">
        <x:v>2026-04-01</x:v>
      </x:c>
      <x:c r="E6" t="n">
        <x:v>1000</x:v>
      </x:c>
      <x:c r="F6" s="20" t="n">
        <x:v>95</x:v>
      </x:c>
      <x:c r="G6" t="str">
        <x:v>Stage</x:v>
      </x:c>
      <x:c r="H6" t="str">
        <x:v>DBA Team</x:v>
      </x:c>
      <x:c r="I6" t="str">
        <x:v>7 days</x:v>
      </x:c>
      <x:c r="J6" t="str">
        <x:v>35 days</x:v>
      </x:c>
      <x:c r="K6" t="str">
        <x:v>No</x:v>
      </x:c>
      <x:c r="L6" t="str">
        <x:v>No</x:v>
      </x:c>
      <x:c r="M6" t="str">
        <x:v>Yes</x:v>
      </x:c>
      <x:c r="N6" t="str">
        <x:v>TBD</x:v>
      </x:c>
      <x:c r="O6" s="26" t="str"/>
      <x:c r="P6" s="20" t="n">
        <x:v>75</x:v>
      </x:c>
      <x:c r="Q6" t="str">
        <x:v>Reduce retention if approved</x:v>
      </x:c>
    </x:row>
    <x:row r="7">
      <x:c r="D7" s="26"/>
      <x:c r="F7" s="20"/>
      <x:c r="O7" s="26"/>
      <x:c r="P7" s="20"/>
    </x:row>
    <x:row r="8">
      <x:c r="D8" s="26"/>
      <x:c r="F8" s="20"/>
      <x:c r="O8" s="26"/>
      <x:c r="P8" s="20"/>
    </x:row>
    <x:row r="9">
      <x:c r="D9" s="26"/>
      <x:c r="F9" s="20"/>
      <x:c r="O9" s="26"/>
      <x:c r="P9" s="20"/>
    </x:row>
    <x:row r="10">
      <x:c r="D10" s="26"/>
      <x:c r="F10" s="20"/>
      <x:c r="O10" s="26"/>
      <x:c r="P10" s="20"/>
    </x:row>
    <x:row r="11">
      <x:c r="D11" s="26"/>
      <x:c r="F11" s="20"/>
      <x:c r="O11" s="26"/>
      <x:c r="P11" s="20"/>
    </x:row>
    <x:row r="12">
      <x:c r="D12" s="26"/>
      <x:c r="F12" s="20"/>
      <x:c r="O12" s="26"/>
      <x:c r="P12" s="20"/>
    </x:row>
    <x:row r="13">
      <x:c r="D13" s="26"/>
      <x:c r="F13" s="20"/>
      <x:c r="O13" s="26"/>
      <x:c r="P13" s="20"/>
    </x:row>
    <x:row r="14">
      <x:c r="D14" s="26"/>
      <x:c r="F14" s="20"/>
      <x:c r="O14" s="26"/>
      <x:c r="P14" s="20"/>
    </x:row>
    <x:row r="15">
      <x:c r="D15" s="26"/>
      <x:c r="F15" s="20"/>
      <x:c r="O15" s="26"/>
      <x:c r="P15" s="20"/>
    </x:row>
    <x:row r="16">
      <x:c r="D16" s="26"/>
      <x:c r="F16" s="20"/>
      <x:c r="O16" s="26"/>
      <x:c r="P16" s="20"/>
    </x:row>
    <x:row r="17">
      <x:c r="D17" s="26"/>
      <x:c r="F17" s="20"/>
      <x:c r="O17" s="26"/>
      <x:c r="P17" s="20"/>
    </x:row>
    <x:row r="18">
      <x:c r="D18" s="26"/>
      <x:c r="F18" s="20"/>
      <x:c r="O18" s="26"/>
      <x:c r="P18" s="20"/>
    </x:row>
    <x:row r="19">
      <x:c r="D19" s="26"/>
      <x:c r="F19" s="20"/>
      <x:c r="O19" s="26"/>
      <x:c r="P19" s="20"/>
    </x:row>
    <x:row r="20">
      <x:c r="D20" s="26"/>
      <x:c r="F20" s="20"/>
      <x:c r="O20" s="26"/>
      <x:c r="P20" s="20"/>
    </x:row>
    <x:row r="21">
      <x:c r="D21" s="26"/>
      <x:c r="F21" s="20"/>
      <x:c r="O21" s="26"/>
      <x:c r="P21" s="20"/>
    </x:row>
    <x:row r="22">
      <x:c r="D22" s="26"/>
      <x:c r="F22" s="20"/>
      <x:c r="O22" s="26"/>
      <x:c r="P22" s="20"/>
    </x:row>
    <x:row r="23">
      <x:c r="D23" s="26"/>
      <x:c r="F23" s="20"/>
      <x:c r="O23" s="26"/>
      <x:c r="P23" s="20"/>
    </x:row>
    <x:row r="24">
      <x:c r="D24" s="26"/>
      <x:c r="F24" s="20"/>
      <x:c r="O24" s="26"/>
      <x:c r="P24" s="20"/>
    </x:row>
    <x:row r="25">
      <x:c r="D25" s="26"/>
      <x:c r="F25" s="20"/>
      <x:c r="O25" s="26"/>
      <x:c r="P25" s="20"/>
    </x:row>
    <x:row r="26">
      <x:c r="D26" s="26"/>
      <x:c r="F26" s="20"/>
      <x:c r="O26" s="26"/>
      <x:c r="P26" s="20"/>
    </x:row>
    <x:row r="27">
      <x:c r="D27" s="26"/>
      <x:c r="F27" s="20"/>
      <x:c r="O27" s="26"/>
      <x:c r="P27" s="20"/>
    </x:row>
    <x:row r="28">
      <x:c r="D28" s="26"/>
      <x:c r="F28" s="20"/>
      <x:c r="O28" s="26"/>
      <x:c r="P28" s="20"/>
    </x:row>
    <x:row r="29">
      <x:c r="D29" s="26"/>
      <x:c r="F29" s="20"/>
      <x:c r="O29" s="26"/>
      <x:c r="P29" s="20"/>
    </x:row>
    <x:row r="30">
      <x:c r="D30" s="26"/>
      <x:c r="F30" s="20"/>
      <x:c r="O30" s="26"/>
      <x:c r="P30" s="20"/>
    </x:row>
    <x:row r="31">
      <x:c r="D31" s="26"/>
      <x:c r="F31" s="20"/>
      <x:c r="O31" s="26"/>
      <x:c r="P31" s="20"/>
    </x:row>
    <x:row r="32">
      <x:c r="D32" s="26"/>
      <x:c r="F32" s="20"/>
      <x:c r="O32" s="26"/>
      <x:c r="P32" s="20"/>
    </x:row>
    <x:row r="33">
      <x:c r="D33" s="26"/>
      <x:c r="F33" s="20"/>
      <x:c r="O33" s="26"/>
      <x:c r="P33" s="20"/>
    </x:row>
    <x:row r="34">
      <x:c r="D34" s="26"/>
      <x:c r="F34" s="20"/>
      <x:c r="O34" s="26"/>
      <x:c r="P34" s="20"/>
    </x:row>
    <x:row r="35">
      <x:c r="D35" s="26"/>
      <x:c r="F35" s="20"/>
      <x:c r="O35" s="26"/>
      <x:c r="P35" s="20"/>
    </x:row>
    <x:row r="36">
      <x:c r="D36" s="26"/>
      <x:c r="F36" s="20"/>
      <x:c r="O36" s="26"/>
      <x:c r="P36" s="20"/>
    </x:row>
    <x:row r="37">
      <x:c r="D37" s="26"/>
      <x:c r="F37" s="20"/>
      <x:c r="O37" s="26"/>
      <x:c r="P37" s="20"/>
    </x:row>
    <x:row r="38">
      <x:c r="D38" s="26"/>
      <x:c r="F38" s="20"/>
      <x:c r="O38" s="26"/>
      <x:c r="P38" s="20"/>
    </x:row>
    <x:row r="39">
      <x:c r="D39" s="26"/>
      <x:c r="F39" s="20"/>
      <x:c r="O39" s="26"/>
      <x:c r="P39" s="20"/>
    </x:row>
    <x:row r="40">
      <x:c r="D40" s="26"/>
      <x:c r="F40" s="20"/>
      <x:c r="O40" s="26"/>
      <x:c r="P40" s="20"/>
    </x:row>
    <x:row r="41">
      <x:c r="D41" s="26"/>
      <x:c r="F41" s="20"/>
      <x:c r="O41" s="26"/>
      <x:c r="P41" s="20"/>
    </x:row>
    <x:row r="42">
      <x:c r="D42" s="26"/>
      <x:c r="F42" s="20"/>
      <x:c r="O42" s="26"/>
      <x:c r="P42" s="20"/>
    </x:row>
    <x:row r="43">
      <x:c r="D43" s="26"/>
      <x:c r="F43" s="20"/>
      <x:c r="O43" s="26"/>
      <x:c r="P43" s="20"/>
    </x:row>
    <x:row r="44">
      <x:c r="D44" s="26"/>
      <x:c r="F44" s="20"/>
      <x:c r="O44" s="26"/>
      <x:c r="P44" s="20"/>
    </x:row>
    <x:row r="45">
      <x:c r="D45" s="26"/>
      <x:c r="F45" s="20"/>
      <x:c r="O45" s="26"/>
      <x:c r="P45" s="20"/>
    </x:row>
    <x:row r="46">
      <x:c r="D46" s="26"/>
      <x:c r="F46" s="20"/>
      <x:c r="O46" s="26"/>
      <x:c r="P46" s="20"/>
    </x:row>
    <x:row r="47">
      <x:c r="D47" s="26"/>
      <x:c r="F47" s="20"/>
      <x:c r="O47" s="26"/>
      <x:c r="P47" s="20"/>
    </x:row>
    <x:row r="48">
      <x:c r="D48" s="26"/>
      <x:c r="F48" s="20"/>
      <x:c r="O48" s="26"/>
      <x:c r="P48" s="20"/>
    </x:row>
    <x:row r="49">
      <x:c r="D49" s="26"/>
      <x:c r="F49" s="20"/>
      <x:c r="O49" s="26"/>
      <x:c r="P49" s="20"/>
    </x:row>
    <x:row r="50">
      <x:c r="D50" s="26"/>
      <x:c r="F50" s="20"/>
      <x:c r="O50" s="26"/>
      <x:c r="P50" s="20"/>
    </x:row>
    <x:row r="51">
      <x:c r="D51" s="26"/>
      <x:c r="F51" s="20"/>
      <x:c r="O51" s="26"/>
      <x:c r="P51" s="20"/>
    </x:row>
    <x:row r="52">
      <x:c r="D52" s="26"/>
      <x:c r="F52" s="20"/>
      <x:c r="O52" s="26"/>
      <x:c r="P52" s="20"/>
    </x:row>
    <x:row r="53">
      <x:c r="D53" s="26"/>
      <x:c r="F53" s="20"/>
      <x:c r="O53" s="26"/>
      <x:c r="P53" s="20"/>
    </x:row>
    <x:row r="54">
      <x:c r="D54" s="26"/>
      <x:c r="F54" s="20"/>
      <x:c r="O54" s="26"/>
      <x:c r="P54" s="20"/>
    </x:row>
    <x:row r="55">
      <x:c r="D55" s="26"/>
      <x:c r="F55" s="20"/>
      <x:c r="O55" s="26"/>
      <x:c r="P55" s="20"/>
    </x:row>
    <x:row r="56">
      <x:c r="D56" s="26"/>
      <x:c r="F56" s="20"/>
      <x:c r="O56" s="26"/>
      <x:c r="P56" s="20"/>
    </x:row>
    <x:row r="57">
      <x:c r="D57" s="26"/>
      <x:c r="F57" s="20"/>
      <x:c r="O57" s="26"/>
      <x:c r="P57" s="20"/>
    </x:row>
    <x:row r="58">
      <x:c r="D58" s="26"/>
      <x:c r="F58" s="20"/>
      <x:c r="O58" s="26"/>
      <x:c r="P58" s="20"/>
    </x:row>
    <x:row r="59">
      <x:c r="D59" s="26"/>
      <x:c r="F59" s="20"/>
      <x:c r="O59" s="26"/>
      <x:c r="P59" s="20"/>
    </x:row>
    <x:row r="60">
      <x:c r="D60" s="26"/>
      <x:c r="F60" s="20"/>
      <x:c r="O60" s="26"/>
      <x:c r="P60" s="20"/>
    </x:row>
    <x:row r="61">
      <x:c r="D61" s="26"/>
      <x:c r="F61" s="20"/>
      <x:c r="O61" s="26"/>
      <x:c r="P61" s="20"/>
    </x:row>
    <x:row r="62">
      <x:c r="D62" s="26"/>
      <x:c r="F62" s="20"/>
      <x:c r="O62" s="26"/>
      <x:c r="P62" s="20"/>
    </x:row>
    <x:row r="63">
      <x:c r="D63" s="26"/>
      <x:c r="F63" s="20"/>
      <x:c r="O63" s="26"/>
      <x:c r="P63" s="20"/>
    </x:row>
    <x:row r="64">
      <x:c r="D64" s="26"/>
      <x:c r="F64" s="20"/>
      <x:c r="O64" s="26"/>
      <x:c r="P64" s="20"/>
    </x:row>
    <x:row r="65">
      <x:c r="D65" s="26"/>
      <x:c r="F65" s="20"/>
      <x:c r="O65" s="26"/>
      <x:c r="P65" s="20"/>
    </x:row>
    <x:row r="66">
      <x:c r="D66" s="26"/>
      <x:c r="F66" s="20"/>
      <x:c r="O66" s="26"/>
      <x:c r="P66" s="20"/>
    </x:row>
    <x:row r="67">
      <x:c r="D67" s="26"/>
      <x:c r="F67" s="20"/>
      <x:c r="O67" s="26"/>
      <x:c r="P67" s="20"/>
    </x:row>
    <x:row r="68">
      <x:c r="D68" s="26"/>
      <x:c r="F68" s="20"/>
      <x:c r="O68" s="26"/>
      <x:c r="P68" s="20"/>
    </x:row>
    <x:row r="69">
      <x:c r="D69" s="26"/>
      <x:c r="F69" s="20"/>
      <x:c r="O69" s="26"/>
      <x:c r="P69" s="20"/>
    </x:row>
    <x:row r="70">
      <x:c r="D70" s="26"/>
      <x:c r="F70" s="20"/>
      <x:c r="O70" s="26"/>
      <x:c r="P70" s="20"/>
    </x:row>
    <x:row r="71">
      <x:c r="D71" s="26"/>
      <x:c r="F71" s="20"/>
      <x:c r="O71" s="26"/>
      <x:c r="P71" s="20"/>
    </x:row>
    <x:row r="72">
      <x:c r="D72" s="26"/>
      <x:c r="F72" s="20"/>
      <x:c r="O72" s="26"/>
      <x:c r="P72" s="20"/>
    </x:row>
    <x:row r="73">
      <x:c r="D73" s="26"/>
      <x:c r="F73" s="20"/>
      <x:c r="O73" s="26"/>
      <x:c r="P73" s="20"/>
    </x:row>
    <x:row r="74">
      <x:c r="D74" s="26"/>
      <x:c r="F74" s="20"/>
      <x:c r="O74" s="26"/>
      <x:c r="P74" s="20"/>
    </x:row>
    <x:row r="75">
      <x:c r="D75" s="26"/>
      <x:c r="F75" s="20"/>
      <x:c r="O75" s="26"/>
      <x:c r="P75" s="20"/>
    </x:row>
    <x:row r="76">
      <x:c r="D76" s="26"/>
      <x:c r="F76" s="20"/>
      <x:c r="O76" s="26"/>
      <x:c r="P76" s="20"/>
    </x:row>
    <x:row r="77">
      <x:c r="D77" s="26"/>
      <x:c r="F77" s="20"/>
      <x:c r="O77" s="26"/>
      <x:c r="P77" s="20"/>
    </x:row>
    <x:row r="78">
      <x:c r="D78" s="26"/>
      <x:c r="F78" s="20"/>
      <x:c r="O78" s="26"/>
      <x:c r="P78" s="20"/>
    </x:row>
    <x:row r="79">
      <x:c r="D79" s="26"/>
      <x:c r="F79" s="20"/>
      <x:c r="O79" s="26"/>
      <x:c r="P79" s="20"/>
    </x:row>
    <x:row r="80">
      <x:c r="D80" s="26"/>
      <x:c r="F80" s="20"/>
      <x:c r="O80" s="26"/>
      <x:c r="P80" s="20"/>
    </x:row>
    <x:row r="81">
      <x:c r="D81" s="26"/>
      <x:c r="F81" s="20"/>
      <x:c r="O81" s="26"/>
      <x:c r="P81" s="20"/>
    </x:row>
    <x:row r="82">
      <x:c r="D82" s="26"/>
      <x:c r="F82" s="20"/>
      <x:c r="O82" s="26"/>
      <x:c r="P82" s="20"/>
    </x:row>
    <x:row r="83">
      <x:c r="D83" s="26"/>
      <x:c r="F83" s="20"/>
      <x:c r="O83" s="26"/>
      <x:c r="P83" s="20"/>
    </x:row>
    <x:row r="84">
      <x:c r="D84" s="26"/>
      <x:c r="F84" s="20"/>
      <x:c r="O84" s="26"/>
      <x:c r="P84" s="20"/>
    </x:row>
    <x:row r="85">
      <x:c r="D85" s="26"/>
      <x:c r="F85" s="20"/>
      <x:c r="O85" s="26"/>
      <x:c r="P85" s="20"/>
    </x:row>
    <x:row r="86">
      <x:c r="D86" s="26"/>
      <x:c r="F86" s="20"/>
      <x:c r="O86" s="26"/>
      <x:c r="P86" s="20"/>
    </x:row>
    <x:row r="87">
      <x:c r="D87" s="26"/>
      <x:c r="F87" s="20"/>
      <x:c r="O87" s="26"/>
      <x:c r="P87" s="20"/>
    </x:row>
    <x:row r="88">
      <x:c r="D88" s="26"/>
      <x:c r="F88" s="20"/>
      <x:c r="O88" s="26"/>
      <x:c r="P88" s="20"/>
    </x:row>
    <x:row r="89">
      <x:c r="D89" s="26"/>
      <x:c r="F89" s="20"/>
      <x:c r="O89" s="26"/>
      <x:c r="P89" s="20"/>
    </x:row>
    <x:row r="90">
      <x:c r="D90" s="26"/>
      <x:c r="F90" s="20"/>
      <x:c r="O90" s="26"/>
      <x:c r="P90" s="20"/>
    </x:row>
    <x:row r="91">
      <x:c r="D91" s="26"/>
      <x:c r="F91" s="20"/>
      <x:c r="O91" s="26"/>
      <x:c r="P91" s="20"/>
    </x:row>
    <x:row r="92">
      <x:c r="D92" s="26"/>
      <x:c r="F92" s="20"/>
      <x:c r="O92" s="26"/>
      <x:c r="P92" s="20"/>
    </x:row>
    <x:row r="93">
      <x:c r="D93" s="26"/>
      <x:c r="F93" s="20"/>
      <x:c r="O93" s="26"/>
      <x:c r="P93" s="20"/>
    </x:row>
    <x:row r="94">
      <x:c r="D94" s="26"/>
      <x:c r="F94" s="20"/>
      <x:c r="O94" s="26"/>
      <x:c r="P94" s="20"/>
    </x:row>
    <x:row r="95">
      <x:c r="D95" s="26"/>
      <x:c r="F95" s="20"/>
      <x:c r="O95" s="26"/>
      <x:c r="P95" s="20"/>
    </x:row>
    <x:row r="96">
      <x:c r="D96" s="26"/>
      <x:c r="F96" s="20"/>
      <x:c r="O96" s="26"/>
      <x:c r="P96" s="20"/>
    </x:row>
    <x:row r="97">
      <x:c r="D97" s="26"/>
      <x:c r="F97" s="20"/>
      <x:c r="O97" s="26"/>
      <x:c r="P97" s="20"/>
    </x:row>
    <x:row r="98">
      <x:c r="D98" s="26"/>
      <x:c r="F98" s="20"/>
      <x:c r="O98" s="26"/>
      <x:c r="P98" s="20"/>
    </x:row>
    <x:row r="99">
      <x:c r="D99" s="26"/>
      <x:c r="F99" s="20"/>
      <x:c r="O99" s="26"/>
      <x:c r="P99" s="20"/>
    </x:row>
    <x:row r="100">
      <x:c r="D100" s="26"/>
      <x:c r="F100" s="20"/>
      <x:c r="O100" s="26"/>
      <x:c r="P100" s="20"/>
    </x:row>
    <x:row r="101">
      <x:c r="D101" s="26"/>
      <x:c r="F101" s="20"/>
      <x:c r="O101" s="26"/>
      <x:c r="P101" s="20"/>
    </x:row>
    <x:row r="102">
      <x:c r="D102" s="26"/>
      <x:c r="F102" s="20"/>
      <x:c r="O102" s="26"/>
      <x:c r="P102" s="20"/>
    </x:row>
    <x:row r="103">
      <x:c r="D103" s="26"/>
      <x:c r="F103" s="20"/>
      <x:c r="O103" s="26"/>
      <x:c r="P103" s="20"/>
    </x:row>
    <x:row r="104">
      <x:c r="D104" s="26"/>
      <x:c r="F104" s="20"/>
      <x:c r="O104" s="26"/>
      <x:c r="P104" s="20"/>
    </x:row>
    <x:row r="105">
      <x:c r="D105" s="26"/>
      <x:c r="F105" s="20"/>
      <x:c r="O105" s="26"/>
      <x:c r="P105" s="20"/>
    </x:row>
    <x:row r="106">
      <x:c r="D106" s="26"/>
      <x:c r="F106" s="20"/>
      <x:c r="O106" s="26"/>
      <x:c r="P106" s="20"/>
    </x:row>
    <x:row r="107">
      <x:c r="D107" s="26"/>
      <x:c r="F107" s="20"/>
      <x:c r="O107" s="26"/>
      <x:c r="P107" s="20"/>
    </x:row>
    <x:row r="108">
      <x:c r="D108" s="26"/>
      <x:c r="F108" s="20"/>
      <x:c r="O108" s="26"/>
      <x:c r="P108" s="20"/>
    </x:row>
    <x:row r="109">
      <x:c r="D109" s="26"/>
      <x:c r="F109" s="20"/>
      <x:c r="O109" s="26"/>
      <x:c r="P109" s="20"/>
    </x:row>
    <x:row r="110">
      <x:c r="D110" s="26"/>
      <x:c r="F110" s="20"/>
      <x:c r="O110" s="26"/>
      <x:c r="P110" s="20"/>
    </x:row>
    <x:row r="111">
      <x:c r="D111" s="26"/>
      <x:c r="F111" s="20"/>
      <x:c r="O111" s="26"/>
      <x:c r="P111" s="20"/>
    </x:row>
    <x:row r="112">
      <x:c r="D112" s="26"/>
      <x:c r="F112" s="20"/>
      <x:c r="O112" s="26"/>
      <x:c r="P112" s="20"/>
    </x:row>
    <x:row r="113">
      <x:c r="D113" s="26"/>
      <x:c r="F113" s="20"/>
      <x:c r="O113" s="26"/>
      <x:c r="P113" s="20"/>
    </x:row>
    <x:row r="114">
      <x:c r="D114" s="26"/>
      <x:c r="F114" s="20"/>
      <x:c r="O114" s="26"/>
      <x:c r="P114" s="20"/>
    </x:row>
    <x:row r="115">
      <x:c r="D115" s="26"/>
      <x:c r="F115" s="20"/>
      <x:c r="O115" s="26"/>
      <x:c r="P115" s="20"/>
    </x:row>
    <x:row r="116">
      <x:c r="D116" s="26"/>
      <x:c r="F116" s="20"/>
      <x:c r="O116" s="26"/>
      <x:c r="P116" s="20"/>
    </x:row>
    <x:row r="117">
      <x:c r="D117" s="26"/>
      <x:c r="F117" s="20"/>
      <x:c r="O117" s="26"/>
      <x:c r="P117" s="20"/>
    </x:row>
    <x:row r="118">
      <x:c r="D118" s="26"/>
      <x:c r="F118" s="20"/>
      <x:c r="O118" s="26"/>
      <x:c r="P118" s="20"/>
    </x:row>
    <x:row r="119">
      <x:c r="D119" s="26"/>
      <x:c r="F119" s="20"/>
      <x:c r="O119" s="26"/>
      <x:c r="P119" s="20"/>
    </x:row>
    <x:row r="120">
      <x:c r="D120" s="26"/>
      <x:c r="F120" s="20"/>
      <x:c r="O120" s="26"/>
      <x:c r="P120" s="20"/>
    </x:row>
    <x:row r="121">
      <x:c r="D121" s="26"/>
      <x:c r="F121" s="20"/>
      <x:c r="O121" s="26"/>
      <x:c r="P121" s="20"/>
    </x:row>
    <x:row r="122">
      <x:c r="D122" s="26"/>
      <x:c r="F122" s="20"/>
      <x:c r="O122" s="26"/>
      <x:c r="P122" s="20"/>
    </x:row>
    <x:row r="123">
      <x:c r="D123" s="26"/>
      <x:c r="F123" s="20"/>
      <x:c r="O123" s="26"/>
      <x:c r="P123" s="20"/>
    </x:row>
    <x:row r="124">
      <x:c r="D124" s="26"/>
      <x:c r="F124" s="20"/>
      <x:c r="O124" s="26"/>
      <x:c r="P124" s="20"/>
    </x:row>
    <x:row r="125">
      <x:c r="D125" s="26"/>
      <x:c r="F125" s="20"/>
      <x:c r="O125" s="26"/>
      <x:c r="P125" s="20"/>
    </x:row>
    <x:row r="126">
      <x:c r="D126" s="26"/>
      <x:c r="F126" s="20"/>
      <x:c r="O126" s="26"/>
      <x:c r="P126" s="20"/>
    </x:row>
    <x:row r="127">
      <x:c r="D127" s="26"/>
      <x:c r="F127" s="20"/>
      <x:c r="O127" s="26"/>
      <x:c r="P127" s="20"/>
    </x:row>
    <x:row r="128">
      <x:c r="D128" s="26"/>
      <x:c r="F128" s="20"/>
      <x:c r="O128" s="26"/>
      <x:c r="P128" s="20"/>
    </x:row>
    <x:row r="129">
      <x:c r="D129" s="26"/>
      <x:c r="F129" s="20"/>
      <x:c r="O129" s="26"/>
      <x:c r="P129" s="20"/>
    </x:row>
    <x:row r="130">
      <x:c r="D130" s="26"/>
      <x:c r="F130" s="20"/>
      <x:c r="O130" s="26"/>
      <x:c r="P130" s="20"/>
    </x:row>
    <x:row r="131">
      <x:c r="D131" s="26"/>
      <x:c r="F131" s="20"/>
      <x:c r="O131" s="26"/>
      <x:c r="P131" s="20"/>
    </x:row>
    <x:row r="132">
      <x:c r="D132" s="26"/>
      <x:c r="F132" s="20"/>
      <x:c r="O132" s="26"/>
      <x:c r="P132" s="20"/>
    </x:row>
    <x:row r="133">
      <x:c r="D133" s="26"/>
      <x:c r="F133" s="20"/>
      <x:c r="O133" s="26"/>
      <x:c r="P133" s="20"/>
    </x:row>
    <x:row r="134">
      <x:c r="D134" s="26"/>
      <x:c r="F134" s="20"/>
      <x:c r="O134" s="26"/>
      <x:c r="P134" s="20"/>
    </x:row>
    <x:row r="135">
      <x:c r="D135" s="26"/>
      <x:c r="F135" s="20"/>
      <x:c r="O135" s="26"/>
      <x:c r="P135" s="20"/>
    </x:row>
    <x:row r="136">
      <x:c r="D136" s="26"/>
      <x:c r="F136" s="20"/>
      <x:c r="O136" s="26"/>
      <x:c r="P136" s="20"/>
    </x:row>
    <x:row r="137">
      <x:c r="D137" s="26"/>
      <x:c r="F137" s="20"/>
      <x:c r="O137" s="26"/>
      <x:c r="P137" s="20"/>
    </x:row>
    <x:row r="138">
      <x:c r="D138" s="26"/>
      <x:c r="F138" s="20"/>
      <x:c r="O138" s="26"/>
      <x:c r="P138" s="20"/>
    </x:row>
    <x:row r="139">
      <x:c r="D139" s="26"/>
      <x:c r="F139" s="20"/>
      <x:c r="O139" s="26"/>
      <x:c r="P139" s="20"/>
    </x:row>
    <x:row r="140">
      <x:c r="D140" s="26"/>
      <x:c r="F140" s="20"/>
      <x:c r="O140" s="26"/>
      <x:c r="P140" s="20"/>
    </x:row>
    <x:row r="141">
      <x:c r="D141" s="26"/>
      <x:c r="F141" s="20"/>
      <x:c r="O141" s="26"/>
      <x:c r="P141" s="20"/>
    </x:row>
    <x:row r="142">
      <x:c r="D142" s="26"/>
      <x:c r="F142" s="20"/>
      <x:c r="O142" s="26"/>
      <x:c r="P142" s="20"/>
    </x:row>
    <x:row r="143">
      <x:c r="D143" s="26"/>
      <x:c r="F143" s="20"/>
      <x:c r="O143" s="26"/>
      <x:c r="P143" s="20"/>
    </x:row>
    <x:row r="144">
      <x:c r="D144" s="26"/>
      <x:c r="F144" s="20"/>
      <x:c r="O144" s="26"/>
      <x:c r="P144" s="20"/>
    </x:row>
    <x:row r="145">
      <x:c r="D145" s="26"/>
      <x:c r="F145" s="20"/>
      <x:c r="O145" s="26"/>
      <x:c r="P145" s="20"/>
    </x:row>
    <x:row r="146">
      <x:c r="D146" s="26"/>
      <x:c r="F146" s="20"/>
      <x:c r="O146" s="26"/>
      <x:c r="P146" s="20"/>
    </x:row>
    <x:row r="147">
      <x:c r="D147" s="26"/>
      <x:c r="F147" s="20"/>
      <x:c r="O147" s="26"/>
      <x:c r="P147" s="20"/>
    </x:row>
    <x:row r="148">
      <x:c r="D148" s="26"/>
      <x:c r="F148" s="20"/>
      <x:c r="O148" s="26"/>
      <x:c r="P148" s="20"/>
    </x:row>
    <x:row r="149">
      <x:c r="D149" s="26"/>
      <x:c r="F149" s="20"/>
      <x:c r="O149" s="26"/>
      <x:c r="P149" s="20"/>
    </x:row>
    <x:row r="150">
      <x:c r="D150" s="26"/>
      <x:c r="F150" s="20"/>
      <x:c r="O150" s="26"/>
      <x:c r="P150" s="20"/>
    </x:row>
    <x:row r="151">
      <x:c r="D151" s="26"/>
      <x:c r="F151" s="20"/>
      <x:c r="O151" s="26"/>
      <x:c r="P151" s="20"/>
    </x:row>
    <x:row r="152">
      <x:c r="D152" s="26"/>
      <x:c r="F152" s="20"/>
      <x:c r="O152" s="26"/>
      <x:c r="P152" s="20"/>
    </x:row>
    <x:row r="153">
      <x:c r="D153" s="26"/>
      <x:c r="F153" s="20"/>
      <x:c r="O153" s="26"/>
      <x:c r="P153" s="20"/>
    </x:row>
    <x:row r="154">
      <x:c r="D154" s="26"/>
      <x:c r="F154" s="20"/>
      <x:c r="O154" s="26"/>
      <x:c r="P154" s="20"/>
    </x:row>
    <x:row r="155">
      <x:c r="D155" s="26"/>
      <x:c r="F155" s="20"/>
      <x:c r="O155" s="26"/>
      <x:c r="P155" s="20"/>
    </x:row>
    <x:row r="156">
      <x:c r="D156" s="26"/>
      <x:c r="F156" s="20"/>
      <x:c r="O156" s="26"/>
      <x:c r="P156" s="20"/>
    </x:row>
    <x:row r="157">
      <x:c r="D157" s="26"/>
      <x:c r="F157" s="20"/>
      <x:c r="O157" s="26"/>
      <x:c r="P157" s="20"/>
    </x:row>
    <x:row r="158">
      <x:c r="D158" s="26"/>
      <x:c r="F158" s="20"/>
      <x:c r="O158" s="26"/>
      <x:c r="P158" s="20"/>
    </x:row>
    <x:row r="159">
      <x:c r="D159" s="26"/>
      <x:c r="F159" s="20"/>
      <x:c r="O159" s="26"/>
      <x:c r="P159" s="20"/>
    </x:row>
    <x:row r="160">
      <x:c r="D160" s="26"/>
      <x:c r="F160" s="20"/>
      <x:c r="O160" s="26"/>
      <x:c r="P160" s="20"/>
    </x:row>
    <x:row r="161">
      <x:c r="D161" s="26"/>
      <x:c r="F161" s="20"/>
      <x:c r="O161" s="26"/>
      <x:c r="P161" s="20"/>
    </x:row>
    <x:row r="162">
      <x:c r="D162" s="26"/>
      <x:c r="F162" s="20"/>
      <x:c r="O162" s="26"/>
      <x:c r="P162" s="20"/>
    </x:row>
    <x:row r="163">
      <x:c r="D163" s="26"/>
      <x:c r="F163" s="20"/>
      <x:c r="O163" s="26"/>
      <x:c r="P163" s="20"/>
    </x:row>
    <x:row r="164">
      <x:c r="D164" s="26"/>
      <x:c r="F164" s="20"/>
      <x:c r="O164" s="26"/>
      <x:c r="P164" s="20"/>
    </x:row>
    <x:row r="165">
      <x:c r="D165" s="26"/>
      <x:c r="F165" s="20"/>
      <x:c r="O165" s="26"/>
      <x:c r="P165" s="20"/>
    </x:row>
    <x:row r="166">
      <x:c r="D166" s="26"/>
      <x:c r="F166" s="20"/>
      <x:c r="O166" s="26"/>
      <x:c r="P166" s="20"/>
    </x:row>
    <x:row r="167">
      <x:c r="D167" s="26"/>
      <x:c r="F167" s="20"/>
      <x:c r="O167" s="26"/>
      <x:c r="P167" s="20"/>
    </x:row>
    <x:row r="168">
      <x:c r="D168" s="26"/>
      <x:c r="F168" s="20"/>
      <x:c r="O168" s="26"/>
      <x:c r="P168" s="20"/>
    </x:row>
    <x:row r="169">
      <x:c r="D169" s="26"/>
      <x:c r="F169" s="20"/>
      <x:c r="O169" s="26"/>
      <x:c r="P169" s="20"/>
    </x:row>
    <x:row r="170">
      <x:c r="D170" s="26"/>
      <x:c r="F170" s="20"/>
      <x:c r="O170" s="26"/>
      <x:c r="P170" s="20"/>
    </x:row>
    <x:row r="171">
      <x:c r="D171" s="26"/>
      <x:c r="F171" s="20"/>
      <x:c r="O171" s="26"/>
      <x:c r="P171" s="20"/>
    </x:row>
    <x:row r="172">
      <x:c r="D172" s="26"/>
      <x:c r="F172" s="20"/>
      <x:c r="O172" s="26"/>
      <x:c r="P172" s="20"/>
    </x:row>
    <x:row r="173">
      <x:c r="D173" s="26"/>
      <x:c r="F173" s="20"/>
      <x:c r="O173" s="26"/>
      <x:c r="P173" s="20"/>
    </x:row>
    <x:row r="174">
      <x:c r="D174" s="26"/>
      <x:c r="F174" s="20"/>
      <x:c r="O174" s="26"/>
      <x:c r="P174" s="20"/>
    </x:row>
    <x:row r="175">
      <x:c r="D175" s="26"/>
      <x:c r="F175" s="20"/>
      <x:c r="O175" s="26"/>
      <x:c r="P175" s="20"/>
    </x:row>
    <x:row r="176">
      <x:c r="D176" s="26"/>
      <x:c r="F176" s="20"/>
      <x:c r="O176" s="26"/>
      <x:c r="P176" s="20"/>
    </x:row>
    <x:row r="177">
      <x:c r="D177" s="26"/>
      <x:c r="F177" s="20"/>
      <x:c r="O177" s="26"/>
      <x:c r="P177" s="20"/>
    </x:row>
    <x:row r="178">
      <x:c r="D178" s="26"/>
      <x:c r="F178" s="20"/>
      <x:c r="O178" s="26"/>
      <x:c r="P178" s="20"/>
    </x:row>
    <x:row r="179">
      <x:c r="D179" s="26"/>
      <x:c r="F179" s="20"/>
      <x:c r="O179" s="26"/>
      <x:c r="P179" s="20"/>
    </x:row>
    <x:row r="180">
      <x:c r="D180" s="26"/>
      <x:c r="F180" s="20"/>
      <x:c r="O180" s="26"/>
      <x:c r="P180" s="20"/>
    </x:row>
    <x:row r="181">
      <x:c r="D181" s="26"/>
      <x:c r="F181" s="20"/>
      <x:c r="O181" s="26"/>
      <x:c r="P181" s="20"/>
    </x:row>
    <x:row r="182">
      <x:c r="D182" s="26"/>
      <x:c r="F182" s="20"/>
      <x:c r="O182" s="26"/>
      <x:c r="P182" s="20"/>
    </x:row>
    <x:row r="183">
      <x:c r="D183" s="26"/>
      <x:c r="F183" s="20"/>
      <x:c r="O183" s="26"/>
      <x:c r="P183" s="20"/>
    </x:row>
    <x:row r="184">
      <x:c r="D184" s="26"/>
      <x:c r="F184" s="20"/>
      <x:c r="O184" s="26"/>
      <x:c r="P184" s="20"/>
    </x:row>
    <x:row r="185">
      <x:c r="D185" s="26"/>
      <x:c r="F185" s="20"/>
      <x:c r="O185" s="26"/>
      <x:c r="P185" s="20"/>
    </x:row>
    <x:row r="186">
      <x:c r="D186" s="26"/>
      <x:c r="F186" s="20"/>
      <x:c r="O186" s="26"/>
      <x:c r="P186" s="20"/>
    </x:row>
    <x:row r="187">
      <x:c r="D187" s="26"/>
      <x:c r="F187" s="20"/>
      <x:c r="O187" s="26"/>
      <x:c r="P187" s="20"/>
    </x:row>
    <x:row r="188">
      <x:c r="D188" s="26"/>
      <x:c r="F188" s="20"/>
      <x:c r="O188" s="26"/>
      <x:c r="P188" s="20"/>
    </x:row>
    <x:row r="189">
      <x:c r="D189" s="26"/>
      <x:c r="F189" s="20"/>
      <x:c r="O189" s="26"/>
      <x:c r="P189" s="20"/>
    </x:row>
    <x:row r="190">
      <x:c r="D190" s="26"/>
      <x:c r="F190" s="20"/>
      <x:c r="O190" s="26"/>
      <x:c r="P190" s="20"/>
    </x:row>
    <x:row r="191">
      <x:c r="D191" s="26"/>
      <x:c r="F191" s="20"/>
      <x:c r="O191" s="26"/>
      <x:c r="P191" s="20"/>
    </x:row>
    <x:row r="192">
      <x:c r="D192" s="26"/>
      <x:c r="F192" s="20"/>
      <x:c r="O192" s="26"/>
      <x:c r="P192" s="20"/>
    </x:row>
    <x:row r="193">
      <x:c r="D193" s="26"/>
      <x:c r="F193" s="20"/>
      <x:c r="O193" s="26"/>
      <x:c r="P193" s="20"/>
    </x:row>
    <x:row r="194">
      <x:c r="D194" s="26"/>
      <x:c r="F194" s="20"/>
      <x:c r="O194" s="26"/>
      <x:c r="P194" s="20"/>
    </x:row>
    <x:row r="195">
      <x:c r="D195" s="26"/>
      <x:c r="F195" s="20"/>
      <x:c r="O195" s="26"/>
      <x:c r="P195" s="20"/>
    </x:row>
    <x:row r="196">
      <x:c r="D196" s="26"/>
      <x:c r="F196" s="20"/>
      <x:c r="O196" s="26"/>
      <x:c r="P196" s="20"/>
    </x:row>
    <x:row r="197">
      <x:c r="D197" s="26"/>
      <x:c r="F197" s="20"/>
      <x:c r="O197" s="26"/>
      <x:c r="P197" s="20"/>
    </x:row>
    <x:row r="198">
      <x:c r="D198" s="26"/>
      <x:c r="F198" s="20"/>
      <x:c r="O198" s="26"/>
      <x:c r="P198" s="20"/>
    </x:row>
    <x:row r="199">
      <x:c r="D199" s="26"/>
      <x:c r="F199" s="20"/>
      <x:c r="O199" s="26"/>
      <x:c r="P199" s="20"/>
    </x:row>
    <x:row r="200">
      <x:c r="D200" s="26"/>
      <x:c r="F200" s="20"/>
      <x:c r="O200" s="26"/>
      <x:c r="P200" s="20"/>
    </x:row>
  </x:sheetData>
  <x:mergeCells>
    <x:mergeCell ref="A1:Q1"/>
  </x:mergeCells>
  <x:dataValidations count="4">
    <x:dataValidation type="list" sqref="K4:K200">
      <x:formula1>"Yes,No,TBD"</x:formula1>
    </x:dataValidation>
    <x:dataValidation type="list" sqref="L4:L200">
      <x:formula1>"Yes,No,TBD"</x:formula1>
    </x:dataValidation>
    <x:dataValidation type="list" sqref="M4:M200">
      <x:formula1>"Yes,No,TBD"</x:formula1>
    </x:dataValidation>
    <x:dataValidation type="list" sqref="N4:N200">
      <x:formula1>Dropdowns!$E$2:$E$7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09dbcd2cee4e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44" t="str">
        <x:v>RDS Cost Reduction Action Tracker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</x:row>
    <x:row r="3" ht="32" customHeight="1">
      <x:c r="A3" s="6" t="str">
        <x:v>Action ID</x:v>
      </x:c>
      <x:c r="B3" s="6" t="str">
        <x:v>Action Item</x:v>
      </x:c>
      <x:c r="C3" s="6" t="str">
        <x:v>Owner Team</x:v>
      </x:c>
      <x:c r="D3" s="6" t="str">
        <x:v>Support Team</x:v>
      </x:c>
      <x:c r="E3" s="6" t="str">
        <x:v>Priority</x:v>
      </x:c>
      <x:c r="F3" s="6" t="str">
        <x:v>Risk</x:v>
      </x:c>
      <x:c r="G3" s="6" t="str">
        <x:v>Status</x:v>
      </x:c>
      <x:c r="H3" s="6" t="str">
        <x:v>Target Date</x:v>
      </x:c>
      <x:c r="I3" s="6" t="str">
        <x:v>Expected Monthly Savings</x:v>
      </x:c>
      <x:c r="J3" s="6" t="str">
        <x:v>Dependencies</x:v>
      </x:c>
      <x:c r="K3" s="6" t="str">
        <x:v>Next Step</x:v>
      </x:c>
      <x:c r="L3" s="6" t="str">
        <x:v>Completion Date</x:v>
      </x:c>
      <x:c r="M3" s="6" t="str">
        <x:v>Comments</x:v>
      </x:c>
    </x:row>
    <x:row r="4">
      <x:c r="A4" t="str">
        <x:v>A-001</x:v>
      </x:c>
      <x:c r="B4" t="str">
        <x:v>Review top 10 RDS cost drivers</x:v>
      </x:c>
      <x:c r="C4" t="str">
        <x:v>Cloud Team</x:v>
      </x:c>
      <x:c r="D4" t="str">
        <x:v>DBA Team</x:v>
      </x:c>
      <x:c r="E4" t="str">
        <x:v>High</x:v>
      </x:c>
      <x:c r="F4" t="str">
        <x:v>Low</x:v>
      </x:c>
      <x:c r="G4" t="str">
        <x:v>In Progress</x:v>
      </x:c>
      <x:c r="H4" s="26" t="str"/>
      <x:c r="I4" s="20" t="n">
        <x:v>0</x:v>
      </x:c>
      <x:c r="J4" t="str">
        <x:v>Cost data availability</x:v>
      </x:c>
      <x:c r="K4" t="str">
        <x:v>Share Cost Explorer/CUR extract</x:v>
      </x:c>
      <x:c r="L4" s="26" t="str"/>
      <x:c r="M4" t="str"/>
    </x:row>
    <x:row r="5">
      <x:c r="A5" t="str">
        <x:v>A-002</x:v>
      </x:c>
      <x:c r="B5" t="str">
        <x:v>Validate right-sizing candidates</x:v>
      </x:c>
      <x:c r="C5" t="str">
        <x:v>DBA Team</x:v>
      </x:c>
      <x:c r="D5" t="str">
        <x:v>Cloud Team</x:v>
      </x:c>
      <x:c r="E5" t="str">
        <x:v>High</x:v>
      </x:c>
      <x:c r="F5" t="str">
        <x:v>Medium</x:v>
      </x:c>
      <x:c r="G5" t="str">
        <x:v>Pending DBA</x:v>
      </x:c>
      <x:c r="H5" s="26" t="str"/>
      <x:c r="I5" s="20" t="n">
        <x:v>0</x:v>
      </x:c>
      <x:c r="J5" t="str">
        <x:v>Performance metrics</x:v>
      </x:c>
      <x:c r="K5" t="str">
        <x:v>DBA to approve/reject candidates</x:v>
      </x:c>
      <x:c r="L5" s="26" t="str"/>
      <x:c r="M5" t="str"/>
    </x:row>
    <x:row r="6">
      <x:c r="A6" t="str">
        <x:v>A-003</x:v>
      </x:c>
      <x:c r="B6" t="str">
        <x:v>Identify unused read replicas</x:v>
      </x:c>
      <x:c r="C6" t="str">
        <x:v>DBA Team</x:v>
      </x:c>
      <x:c r="D6" t="str">
        <x:v>App Team</x:v>
      </x:c>
      <x:c r="E6" t="str">
        <x:v>High</x:v>
      </x:c>
      <x:c r="F6" t="str">
        <x:v>Medium</x:v>
      </x:c>
      <x:c r="G6" t="str">
        <x:v>Not Started</x:v>
      </x:c>
      <x:c r="H6" s="26" t="str"/>
      <x:c r="I6" s="20" t="n">
        <x:v>0</x:v>
      </x:c>
      <x:c r="J6" t="str">
        <x:v>Application read path confirmation</x:v>
      </x:c>
      <x:c r="K6" t="str">
        <x:v>Review replica metrics and app dependency</x:v>
      </x:c>
      <x:c r="L6" s="26" t="str"/>
      <x:c r="M6" t="str"/>
    </x:row>
    <x:row r="7">
      <x:c r="A7" t="str">
        <x:v>A-004</x:v>
      </x:c>
      <x:c r="B7" t="str">
        <x:v>Review RI candidates</x:v>
      </x:c>
      <x:c r="C7" t="str">
        <x:v>Cloud Team</x:v>
      </x:c>
      <x:c r="D7" t="str">
        <x:v>DBA + Finance</x:v>
      </x:c>
      <x:c r="E7" t="str">
        <x:v>Medium</x:v>
      </x:c>
      <x:c r="F7" t="str">
        <x:v>Low</x:v>
      </x:c>
      <x:c r="G7" t="str">
        <x:v>Not Started</x:v>
      </x:c>
      <x:c r="H7" s="26" t="str"/>
      <x:c r="I7" s="20" t="n">
        <x:v>450</x:v>
      </x:c>
      <x:c r="J7" t="str">
        <x:v>DBA stability confirmation</x:v>
      </x:c>
      <x:c r="K7" t="str">
        <x:v>Confirm no migration/resize planned</x:v>
      </x:c>
      <x:c r="L7" s="26" t="str"/>
      <x:c r="M7" t="str"/>
    </x:row>
    <x:row r="8">
      <x:c r="A8" t="str">
        <x:v>A-005</x:v>
      </x:c>
      <x:c r="B8" t="str">
        <x:v>Clean up old QA snapshots</x:v>
      </x:c>
      <x:c r="C8" t="str">
        <x:v>DBA Team</x:v>
      </x:c>
      <x:c r="D8" t="str">
        <x:v>Cloud Team</x:v>
      </x:c>
      <x:c r="E8" t="str">
        <x:v>Medium</x:v>
      </x:c>
      <x:c r="F8" t="str">
        <x:v>Low</x:v>
      </x:c>
      <x:c r="G8" t="str">
        <x:v>Not Started</x:v>
      </x:c>
      <x:c r="H8" s="26" t="str"/>
      <x:c r="I8" s="20" t="n">
        <x:v>48</x:v>
      </x:c>
      <x:c r="J8" t="str">
        <x:v>DBA deletion approval</x:v>
      </x:c>
      <x:c r="K8" t="str">
        <x:v>List snapshots older than retention</x:v>
      </x:c>
      <x:c r="L8" s="26" t="str"/>
      <x:c r="M8" t="str"/>
    </x:row>
    <x:row r="9">
      <x:c r="A9" t="str">
        <x:v>A-006</x:v>
      </x:c>
      <x:c r="B9" t="str">
        <x:v>Apply non-prod stop/start schedule</x:v>
      </x:c>
      <x:c r="C9" t="str">
        <x:v>Cloud Team</x:v>
      </x:c>
      <x:c r="D9" t="str">
        <x:v>DBA + App Team</x:v>
      </x:c>
      <x:c r="E9" t="str">
        <x:v>High</x:v>
      </x:c>
      <x:c r="F9" t="str">
        <x:v>Medium</x:v>
      </x:c>
      <x:c r="G9" t="str">
        <x:v>Not Started</x:v>
      </x:c>
      <x:c r="H9" s="26" t="str"/>
      <x:c r="I9" s="20" t="n">
        <x:v>250</x:v>
      </x:c>
      <x:c r="J9" t="str">
        <x:v>Approved schedule window</x:v>
      </x:c>
      <x:c r="K9" t="str">
        <x:v>Tag eligible databases and test automation</x:v>
      </x:c>
      <x:c r="L9" s="26" t="str"/>
      <x:c r="M9" t="str"/>
    </x:row>
    <x:row r="10">
      <x:c r="A10" t="str">
        <x:v>A-007</x:v>
      </x:c>
      <x:c r="B10" t="str">
        <x:v>Define ongoing governance process</x:v>
      </x:c>
      <x:c r="C10" t="str">
        <x:v>Cloud Team</x:v>
      </x:c>
      <x:c r="D10" t="str">
        <x:v>DBA Team</x:v>
      </x:c>
      <x:c r="E10" t="str">
        <x:v>Medium</x:v>
      </x:c>
      <x:c r="F10" t="str">
        <x:v>Low</x:v>
      </x:c>
      <x:c r="G10" t="str">
        <x:v>Not Started</x:v>
      </x:c>
      <x:c r="H10" s="26" t="str"/>
      <x:c r="I10" s="20" t="n">
        <x:v>0</x:v>
      </x:c>
      <x:c r="J10" t="str">
        <x:v>Agreement on standards</x:v>
      </x:c>
      <x:c r="K10" t="str">
        <x:v>Draft standards for large RDS/repl/Multi-AZ approvals</x:v>
      </x:c>
      <x:c r="L10" s="26" t="str"/>
      <x:c r="M10" t="str"/>
    </x:row>
    <x:row r="11">
      <x:c r="H11" s="26"/>
      <x:c r="I11" s="20"/>
      <x:c r="L11" s="26"/>
    </x:row>
    <x:row r="12">
      <x:c r="H12" s="26"/>
      <x:c r="I12" s="20"/>
      <x:c r="L12" s="26"/>
    </x:row>
    <x:row r="13">
      <x:c r="H13" s="26"/>
      <x:c r="I13" s="20"/>
      <x:c r="L13" s="26"/>
    </x:row>
    <x:row r="14">
      <x:c r="H14" s="26"/>
      <x:c r="I14" s="20"/>
      <x:c r="L14" s="26"/>
    </x:row>
    <x:row r="15">
      <x:c r="H15" s="26"/>
      <x:c r="I15" s="20"/>
      <x:c r="L15" s="26"/>
    </x:row>
    <x:row r="16">
      <x:c r="H16" s="26"/>
      <x:c r="I16" s="20"/>
      <x:c r="L16" s="26"/>
    </x:row>
    <x:row r="17">
      <x:c r="H17" s="26"/>
      <x:c r="I17" s="20"/>
      <x:c r="L17" s="26"/>
    </x:row>
    <x:row r="18">
      <x:c r="H18" s="26"/>
      <x:c r="I18" s="20"/>
      <x:c r="L18" s="26"/>
    </x:row>
    <x:row r="19">
      <x:c r="H19" s="26"/>
      <x:c r="I19" s="20"/>
      <x:c r="L19" s="26"/>
    </x:row>
    <x:row r="20">
      <x:c r="H20" s="26"/>
      <x:c r="I20" s="20"/>
      <x:c r="L20" s="26"/>
    </x:row>
    <x:row r="21">
      <x:c r="H21" s="26"/>
      <x:c r="I21" s="20"/>
      <x:c r="L21" s="26"/>
    </x:row>
    <x:row r="22">
      <x:c r="H22" s="26"/>
      <x:c r="I22" s="20"/>
      <x:c r="L22" s="26"/>
    </x:row>
    <x:row r="23">
      <x:c r="H23" s="26"/>
      <x:c r="I23" s="20"/>
      <x:c r="L23" s="26"/>
    </x:row>
    <x:row r="24">
      <x:c r="H24" s="26"/>
      <x:c r="I24" s="20"/>
      <x:c r="L24" s="26"/>
    </x:row>
    <x:row r="25">
      <x:c r="H25" s="26"/>
      <x:c r="I25" s="20"/>
      <x:c r="L25" s="26"/>
    </x:row>
    <x:row r="26">
      <x:c r="H26" s="26"/>
      <x:c r="I26" s="20"/>
      <x:c r="L26" s="26"/>
    </x:row>
    <x:row r="27">
      <x:c r="H27" s="26"/>
      <x:c r="I27" s="20"/>
      <x:c r="L27" s="26"/>
    </x:row>
    <x:row r="28">
      <x:c r="H28" s="26"/>
      <x:c r="I28" s="20"/>
      <x:c r="L28" s="26"/>
    </x:row>
    <x:row r="29">
      <x:c r="H29" s="26"/>
      <x:c r="I29" s="20"/>
      <x:c r="L29" s="26"/>
    </x:row>
    <x:row r="30">
      <x:c r="H30" s="26"/>
      <x:c r="I30" s="20"/>
      <x:c r="L30" s="26"/>
    </x:row>
    <x:row r="31">
      <x:c r="H31" s="26"/>
      <x:c r="I31" s="20"/>
      <x:c r="L31" s="26"/>
    </x:row>
    <x:row r="32">
      <x:c r="H32" s="26"/>
      <x:c r="I32" s="20"/>
      <x:c r="L32" s="26"/>
    </x:row>
    <x:row r="33">
      <x:c r="H33" s="26"/>
      <x:c r="I33" s="20"/>
      <x:c r="L33" s="26"/>
    </x:row>
    <x:row r="34">
      <x:c r="H34" s="26"/>
      <x:c r="I34" s="20"/>
      <x:c r="L34" s="26"/>
    </x:row>
    <x:row r="35">
      <x:c r="H35" s="26"/>
      <x:c r="I35" s="20"/>
      <x:c r="L35" s="26"/>
    </x:row>
    <x:row r="36">
      <x:c r="H36" s="26"/>
      <x:c r="I36" s="20"/>
      <x:c r="L36" s="26"/>
    </x:row>
    <x:row r="37">
      <x:c r="H37" s="26"/>
      <x:c r="I37" s="20"/>
      <x:c r="L37" s="26"/>
    </x:row>
    <x:row r="38">
      <x:c r="H38" s="26"/>
      <x:c r="I38" s="20"/>
      <x:c r="L38" s="26"/>
    </x:row>
    <x:row r="39">
      <x:c r="H39" s="26"/>
      <x:c r="I39" s="20"/>
      <x:c r="L39" s="26"/>
    </x:row>
    <x:row r="40">
      <x:c r="H40" s="26"/>
      <x:c r="I40" s="20"/>
      <x:c r="L40" s="26"/>
    </x:row>
    <x:row r="41">
      <x:c r="H41" s="26"/>
      <x:c r="I41" s="20"/>
      <x:c r="L41" s="26"/>
    </x:row>
    <x:row r="42">
      <x:c r="H42" s="26"/>
      <x:c r="I42" s="20"/>
      <x:c r="L42" s="26"/>
    </x:row>
    <x:row r="43">
      <x:c r="H43" s="26"/>
      <x:c r="I43" s="20"/>
      <x:c r="L43" s="26"/>
    </x:row>
    <x:row r="44">
      <x:c r="H44" s="26"/>
      <x:c r="I44" s="20"/>
      <x:c r="L44" s="26"/>
    </x:row>
    <x:row r="45">
      <x:c r="H45" s="26"/>
      <x:c r="I45" s="20"/>
      <x:c r="L45" s="26"/>
    </x:row>
    <x:row r="46">
      <x:c r="H46" s="26"/>
      <x:c r="I46" s="20"/>
      <x:c r="L46" s="26"/>
    </x:row>
    <x:row r="47">
      <x:c r="H47" s="26"/>
      <x:c r="I47" s="20"/>
      <x:c r="L47" s="26"/>
    </x:row>
    <x:row r="48">
      <x:c r="H48" s="26"/>
      <x:c r="I48" s="20"/>
      <x:c r="L48" s="26"/>
    </x:row>
    <x:row r="49">
      <x:c r="H49" s="26"/>
      <x:c r="I49" s="20"/>
      <x:c r="L49" s="26"/>
    </x:row>
    <x:row r="50">
      <x:c r="H50" s="26"/>
      <x:c r="I50" s="20"/>
      <x:c r="L50" s="26"/>
    </x:row>
    <x:row r="51">
      <x:c r="H51" s="26"/>
      <x:c r="I51" s="20"/>
      <x:c r="L51" s="26"/>
    </x:row>
    <x:row r="52">
      <x:c r="H52" s="26"/>
      <x:c r="I52" s="20"/>
      <x:c r="L52" s="26"/>
    </x:row>
    <x:row r="53">
      <x:c r="H53" s="26"/>
      <x:c r="I53" s="20"/>
      <x:c r="L53" s="26"/>
    </x:row>
    <x:row r="54">
      <x:c r="H54" s="26"/>
      <x:c r="I54" s="20"/>
      <x:c r="L54" s="26"/>
    </x:row>
    <x:row r="55">
      <x:c r="H55" s="26"/>
      <x:c r="I55" s="20"/>
      <x:c r="L55" s="26"/>
    </x:row>
    <x:row r="56">
      <x:c r="H56" s="26"/>
      <x:c r="I56" s="20"/>
      <x:c r="L56" s="26"/>
    </x:row>
    <x:row r="57">
      <x:c r="H57" s="26"/>
      <x:c r="I57" s="20"/>
      <x:c r="L57" s="26"/>
    </x:row>
    <x:row r="58">
      <x:c r="H58" s="26"/>
      <x:c r="I58" s="20"/>
      <x:c r="L58" s="26"/>
    </x:row>
    <x:row r="59">
      <x:c r="H59" s="26"/>
      <x:c r="I59" s="20"/>
      <x:c r="L59" s="26"/>
    </x:row>
    <x:row r="60">
      <x:c r="H60" s="26"/>
      <x:c r="I60" s="20"/>
      <x:c r="L60" s="26"/>
    </x:row>
    <x:row r="61">
      <x:c r="H61" s="26"/>
      <x:c r="I61" s="20"/>
      <x:c r="L61" s="26"/>
    </x:row>
    <x:row r="62">
      <x:c r="H62" s="26"/>
      <x:c r="I62" s="20"/>
      <x:c r="L62" s="26"/>
    </x:row>
    <x:row r="63">
      <x:c r="H63" s="26"/>
      <x:c r="I63" s="20"/>
      <x:c r="L63" s="26"/>
    </x:row>
    <x:row r="64">
      <x:c r="H64" s="26"/>
      <x:c r="I64" s="20"/>
      <x:c r="L64" s="26"/>
    </x:row>
    <x:row r="65">
      <x:c r="H65" s="26"/>
      <x:c r="I65" s="20"/>
      <x:c r="L65" s="26"/>
    </x:row>
    <x:row r="66">
      <x:c r="H66" s="26"/>
      <x:c r="I66" s="20"/>
      <x:c r="L66" s="26"/>
    </x:row>
    <x:row r="67">
      <x:c r="H67" s="26"/>
      <x:c r="I67" s="20"/>
      <x:c r="L67" s="26"/>
    </x:row>
    <x:row r="68">
      <x:c r="H68" s="26"/>
      <x:c r="I68" s="20"/>
      <x:c r="L68" s="26"/>
    </x:row>
    <x:row r="69">
      <x:c r="H69" s="26"/>
      <x:c r="I69" s="20"/>
      <x:c r="L69" s="26"/>
    </x:row>
    <x:row r="70">
      <x:c r="H70" s="26"/>
      <x:c r="I70" s="20"/>
      <x:c r="L70" s="26"/>
    </x:row>
    <x:row r="71">
      <x:c r="H71" s="26"/>
      <x:c r="I71" s="20"/>
      <x:c r="L71" s="26"/>
    </x:row>
    <x:row r="72">
      <x:c r="H72" s="26"/>
      <x:c r="I72" s="20"/>
      <x:c r="L72" s="26"/>
    </x:row>
    <x:row r="73">
      <x:c r="H73" s="26"/>
      <x:c r="I73" s="20"/>
      <x:c r="L73" s="26"/>
    </x:row>
    <x:row r="74">
      <x:c r="H74" s="26"/>
      <x:c r="I74" s="20"/>
      <x:c r="L74" s="26"/>
    </x:row>
    <x:row r="75">
      <x:c r="H75" s="26"/>
      <x:c r="I75" s="20"/>
      <x:c r="L75" s="26"/>
    </x:row>
    <x:row r="76">
      <x:c r="H76" s="26"/>
      <x:c r="I76" s="20"/>
      <x:c r="L76" s="26"/>
    </x:row>
    <x:row r="77">
      <x:c r="H77" s="26"/>
      <x:c r="I77" s="20"/>
      <x:c r="L77" s="26"/>
    </x:row>
    <x:row r="78">
      <x:c r="H78" s="26"/>
      <x:c r="I78" s="20"/>
      <x:c r="L78" s="26"/>
    </x:row>
    <x:row r="79">
      <x:c r="H79" s="26"/>
      <x:c r="I79" s="20"/>
      <x:c r="L79" s="26"/>
    </x:row>
    <x:row r="80">
      <x:c r="H80" s="26"/>
      <x:c r="I80" s="20"/>
      <x:c r="L80" s="26"/>
    </x:row>
    <x:row r="81">
      <x:c r="H81" s="26"/>
      <x:c r="I81" s="20"/>
      <x:c r="L81" s="26"/>
    </x:row>
    <x:row r="82">
      <x:c r="H82" s="26"/>
      <x:c r="I82" s="20"/>
      <x:c r="L82" s="26"/>
    </x:row>
    <x:row r="83">
      <x:c r="H83" s="26"/>
      <x:c r="I83" s="20"/>
      <x:c r="L83" s="26"/>
    </x:row>
    <x:row r="84">
      <x:c r="H84" s="26"/>
      <x:c r="I84" s="20"/>
      <x:c r="L84" s="26"/>
    </x:row>
    <x:row r="85">
      <x:c r="H85" s="26"/>
      <x:c r="I85" s="20"/>
      <x:c r="L85" s="26"/>
    </x:row>
    <x:row r="86">
      <x:c r="H86" s="26"/>
      <x:c r="I86" s="20"/>
      <x:c r="L86" s="26"/>
    </x:row>
    <x:row r="87">
      <x:c r="H87" s="26"/>
      <x:c r="I87" s="20"/>
      <x:c r="L87" s="26"/>
    </x:row>
    <x:row r="88">
      <x:c r="H88" s="26"/>
      <x:c r="I88" s="20"/>
      <x:c r="L88" s="26"/>
    </x:row>
    <x:row r="89">
      <x:c r="H89" s="26"/>
      <x:c r="I89" s="20"/>
      <x:c r="L89" s="26"/>
    </x:row>
    <x:row r="90">
      <x:c r="H90" s="26"/>
      <x:c r="I90" s="20"/>
      <x:c r="L90" s="26"/>
    </x:row>
    <x:row r="91">
      <x:c r="H91" s="26"/>
      <x:c r="I91" s="20"/>
      <x:c r="L91" s="26"/>
    </x:row>
    <x:row r="92">
      <x:c r="H92" s="26"/>
      <x:c r="I92" s="20"/>
      <x:c r="L92" s="26"/>
    </x:row>
    <x:row r="93">
      <x:c r="H93" s="26"/>
      <x:c r="I93" s="20"/>
      <x:c r="L93" s="26"/>
    </x:row>
    <x:row r="94">
      <x:c r="H94" s="26"/>
      <x:c r="I94" s="20"/>
      <x:c r="L94" s="26"/>
    </x:row>
    <x:row r="95">
      <x:c r="H95" s="26"/>
      <x:c r="I95" s="20"/>
      <x:c r="L95" s="26"/>
    </x:row>
    <x:row r="96">
      <x:c r="H96" s="26"/>
      <x:c r="I96" s="20"/>
      <x:c r="L96" s="26"/>
    </x:row>
    <x:row r="97">
      <x:c r="H97" s="26"/>
      <x:c r="I97" s="20"/>
      <x:c r="L97" s="26"/>
    </x:row>
    <x:row r="98">
      <x:c r="H98" s="26"/>
      <x:c r="I98" s="20"/>
      <x:c r="L98" s="26"/>
    </x:row>
    <x:row r="99">
      <x:c r="H99" s="26"/>
      <x:c r="I99" s="20"/>
      <x:c r="L99" s="26"/>
    </x:row>
    <x:row r="100">
      <x:c r="H100" s="26"/>
      <x:c r="I100" s="20"/>
      <x:c r="L100" s="26"/>
    </x:row>
    <x:row r="101">
      <x:c r="H101" s="26"/>
      <x:c r="I101" s="20"/>
      <x:c r="L101" s="26"/>
    </x:row>
    <x:row r="102">
      <x:c r="H102" s="26"/>
      <x:c r="I102" s="20"/>
      <x:c r="L102" s="26"/>
    </x:row>
    <x:row r="103">
      <x:c r="H103" s="26"/>
      <x:c r="I103" s="20"/>
      <x:c r="L103" s="26"/>
    </x:row>
    <x:row r="104">
      <x:c r="H104" s="26"/>
      <x:c r="I104" s="20"/>
      <x:c r="L104" s="26"/>
    </x:row>
    <x:row r="105">
      <x:c r="H105" s="26"/>
      <x:c r="I105" s="20"/>
      <x:c r="L105" s="26"/>
    </x:row>
    <x:row r="106">
      <x:c r="H106" s="26"/>
      <x:c r="I106" s="20"/>
      <x:c r="L106" s="26"/>
    </x:row>
    <x:row r="107">
      <x:c r="H107" s="26"/>
      <x:c r="I107" s="20"/>
      <x:c r="L107" s="26"/>
    </x:row>
    <x:row r="108">
      <x:c r="H108" s="26"/>
      <x:c r="I108" s="20"/>
      <x:c r="L108" s="26"/>
    </x:row>
    <x:row r="109">
      <x:c r="H109" s="26"/>
      <x:c r="I109" s="20"/>
      <x:c r="L109" s="26"/>
    </x:row>
    <x:row r="110">
      <x:c r="H110" s="26"/>
      <x:c r="I110" s="20"/>
      <x:c r="L110" s="26"/>
    </x:row>
    <x:row r="111">
      <x:c r="H111" s="26"/>
      <x:c r="I111" s="20"/>
      <x:c r="L111" s="26"/>
    </x:row>
    <x:row r="112">
      <x:c r="H112" s="26"/>
      <x:c r="I112" s="20"/>
      <x:c r="L112" s="26"/>
    </x:row>
    <x:row r="113">
      <x:c r="H113" s="26"/>
      <x:c r="I113" s="20"/>
      <x:c r="L113" s="26"/>
    </x:row>
    <x:row r="114">
      <x:c r="H114" s="26"/>
      <x:c r="I114" s="20"/>
      <x:c r="L114" s="26"/>
    </x:row>
    <x:row r="115">
      <x:c r="H115" s="26"/>
      <x:c r="I115" s="20"/>
      <x:c r="L115" s="26"/>
    </x:row>
    <x:row r="116">
      <x:c r="H116" s="26"/>
      <x:c r="I116" s="20"/>
      <x:c r="L116" s="26"/>
    </x:row>
    <x:row r="117">
      <x:c r="H117" s="26"/>
      <x:c r="I117" s="20"/>
      <x:c r="L117" s="26"/>
    </x:row>
    <x:row r="118">
      <x:c r="H118" s="26"/>
      <x:c r="I118" s="20"/>
      <x:c r="L118" s="26"/>
    </x:row>
    <x:row r="119">
      <x:c r="H119" s="26"/>
      <x:c r="I119" s="20"/>
      <x:c r="L119" s="26"/>
    </x:row>
    <x:row r="120">
      <x:c r="H120" s="26"/>
      <x:c r="I120" s="20"/>
      <x:c r="L120" s="26"/>
    </x:row>
    <x:row r="121">
      <x:c r="H121" s="26"/>
      <x:c r="I121" s="20"/>
      <x:c r="L121" s="26"/>
    </x:row>
    <x:row r="122">
      <x:c r="H122" s="26"/>
      <x:c r="I122" s="20"/>
      <x:c r="L122" s="26"/>
    </x:row>
    <x:row r="123">
      <x:c r="H123" s="26"/>
      <x:c r="I123" s="20"/>
      <x:c r="L123" s="26"/>
    </x:row>
    <x:row r="124">
      <x:c r="H124" s="26"/>
      <x:c r="I124" s="20"/>
      <x:c r="L124" s="26"/>
    </x:row>
    <x:row r="125">
      <x:c r="H125" s="26"/>
      <x:c r="I125" s="20"/>
      <x:c r="L125" s="26"/>
    </x:row>
    <x:row r="126">
      <x:c r="H126" s="26"/>
      <x:c r="I126" s="20"/>
      <x:c r="L126" s="26"/>
    </x:row>
    <x:row r="127">
      <x:c r="H127" s="26"/>
      <x:c r="I127" s="20"/>
      <x:c r="L127" s="26"/>
    </x:row>
    <x:row r="128">
      <x:c r="H128" s="26"/>
      <x:c r="I128" s="20"/>
      <x:c r="L128" s="26"/>
    </x:row>
    <x:row r="129">
      <x:c r="H129" s="26"/>
      <x:c r="I129" s="20"/>
      <x:c r="L129" s="26"/>
    </x:row>
    <x:row r="130">
      <x:c r="H130" s="26"/>
      <x:c r="I130" s="20"/>
      <x:c r="L130" s="26"/>
    </x:row>
    <x:row r="131">
      <x:c r="H131" s="26"/>
      <x:c r="I131" s="20"/>
      <x:c r="L131" s="26"/>
    </x:row>
    <x:row r="132">
      <x:c r="H132" s="26"/>
      <x:c r="I132" s="20"/>
      <x:c r="L132" s="26"/>
    </x:row>
    <x:row r="133">
      <x:c r="H133" s="26"/>
      <x:c r="I133" s="20"/>
      <x:c r="L133" s="26"/>
    </x:row>
    <x:row r="134">
      <x:c r="H134" s="26"/>
      <x:c r="I134" s="20"/>
      <x:c r="L134" s="26"/>
    </x:row>
    <x:row r="135">
      <x:c r="H135" s="26"/>
      <x:c r="I135" s="20"/>
      <x:c r="L135" s="26"/>
    </x:row>
    <x:row r="136">
      <x:c r="H136" s="26"/>
      <x:c r="I136" s="20"/>
      <x:c r="L136" s="26"/>
    </x:row>
    <x:row r="137">
      <x:c r="H137" s="26"/>
      <x:c r="I137" s="20"/>
      <x:c r="L137" s="26"/>
    </x:row>
    <x:row r="138">
      <x:c r="H138" s="26"/>
      <x:c r="I138" s="20"/>
      <x:c r="L138" s="26"/>
    </x:row>
    <x:row r="139">
      <x:c r="H139" s="26"/>
      <x:c r="I139" s="20"/>
      <x:c r="L139" s="26"/>
    </x:row>
    <x:row r="140">
      <x:c r="H140" s="26"/>
      <x:c r="I140" s="20"/>
      <x:c r="L140" s="26"/>
    </x:row>
    <x:row r="141">
      <x:c r="H141" s="26"/>
      <x:c r="I141" s="20"/>
      <x:c r="L141" s="26"/>
    </x:row>
    <x:row r="142">
      <x:c r="H142" s="26"/>
      <x:c r="I142" s="20"/>
      <x:c r="L142" s="26"/>
    </x:row>
    <x:row r="143">
      <x:c r="H143" s="26"/>
      <x:c r="I143" s="20"/>
      <x:c r="L143" s="26"/>
    </x:row>
    <x:row r="144">
      <x:c r="H144" s="26"/>
      <x:c r="I144" s="20"/>
      <x:c r="L144" s="26"/>
    </x:row>
    <x:row r="145">
      <x:c r="H145" s="26"/>
      <x:c r="I145" s="20"/>
      <x:c r="L145" s="26"/>
    </x:row>
    <x:row r="146">
      <x:c r="H146" s="26"/>
      <x:c r="I146" s="20"/>
      <x:c r="L146" s="26"/>
    </x:row>
    <x:row r="147">
      <x:c r="H147" s="26"/>
      <x:c r="I147" s="20"/>
      <x:c r="L147" s="26"/>
    </x:row>
    <x:row r="148">
      <x:c r="H148" s="26"/>
      <x:c r="I148" s="20"/>
      <x:c r="L148" s="26"/>
    </x:row>
    <x:row r="149">
      <x:c r="H149" s="26"/>
      <x:c r="I149" s="20"/>
      <x:c r="L149" s="26"/>
    </x:row>
    <x:row r="150">
      <x:c r="H150" s="26"/>
      <x:c r="I150" s="20"/>
      <x:c r="L150" s="26"/>
    </x:row>
    <x:row r="151">
      <x:c r="H151" s="26"/>
      <x:c r="I151" s="20"/>
      <x:c r="L151" s="26"/>
    </x:row>
    <x:row r="152">
      <x:c r="H152" s="26"/>
      <x:c r="I152" s="20"/>
      <x:c r="L152" s="26"/>
    </x:row>
    <x:row r="153">
      <x:c r="H153" s="26"/>
      <x:c r="I153" s="20"/>
      <x:c r="L153" s="26"/>
    </x:row>
    <x:row r="154">
      <x:c r="H154" s="26"/>
      <x:c r="I154" s="20"/>
      <x:c r="L154" s="26"/>
    </x:row>
    <x:row r="155">
      <x:c r="H155" s="26"/>
      <x:c r="I155" s="20"/>
      <x:c r="L155" s="26"/>
    </x:row>
    <x:row r="156">
      <x:c r="H156" s="26"/>
      <x:c r="I156" s="20"/>
      <x:c r="L156" s="26"/>
    </x:row>
    <x:row r="157">
      <x:c r="H157" s="26"/>
      <x:c r="I157" s="20"/>
      <x:c r="L157" s="26"/>
    </x:row>
    <x:row r="158">
      <x:c r="H158" s="26"/>
      <x:c r="I158" s="20"/>
      <x:c r="L158" s="26"/>
    </x:row>
    <x:row r="159">
      <x:c r="H159" s="26"/>
      <x:c r="I159" s="20"/>
      <x:c r="L159" s="26"/>
    </x:row>
    <x:row r="160">
      <x:c r="H160" s="26"/>
      <x:c r="I160" s="20"/>
      <x:c r="L160" s="26"/>
    </x:row>
    <x:row r="161">
      <x:c r="H161" s="26"/>
      <x:c r="I161" s="20"/>
      <x:c r="L161" s="26"/>
    </x:row>
    <x:row r="162">
      <x:c r="H162" s="26"/>
      <x:c r="I162" s="20"/>
      <x:c r="L162" s="26"/>
    </x:row>
    <x:row r="163">
      <x:c r="H163" s="26"/>
      <x:c r="I163" s="20"/>
      <x:c r="L163" s="26"/>
    </x:row>
    <x:row r="164">
      <x:c r="H164" s="26"/>
      <x:c r="I164" s="20"/>
      <x:c r="L164" s="26"/>
    </x:row>
    <x:row r="165">
      <x:c r="H165" s="26"/>
      <x:c r="I165" s="20"/>
      <x:c r="L165" s="26"/>
    </x:row>
    <x:row r="166">
      <x:c r="H166" s="26"/>
      <x:c r="I166" s="20"/>
      <x:c r="L166" s="26"/>
    </x:row>
    <x:row r="167">
      <x:c r="H167" s="26"/>
      <x:c r="I167" s="20"/>
      <x:c r="L167" s="26"/>
    </x:row>
    <x:row r="168">
      <x:c r="H168" s="26"/>
      <x:c r="I168" s="20"/>
      <x:c r="L168" s="26"/>
    </x:row>
    <x:row r="169">
      <x:c r="H169" s="26"/>
      <x:c r="I169" s="20"/>
      <x:c r="L169" s="26"/>
    </x:row>
    <x:row r="170">
      <x:c r="H170" s="26"/>
      <x:c r="I170" s="20"/>
      <x:c r="L170" s="26"/>
    </x:row>
    <x:row r="171">
      <x:c r="H171" s="26"/>
      <x:c r="I171" s="20"/>
      <x:c r="L171" s="26"/>
    </x:row>
    <x:row r="172">
      <x:c r="H172" s="26"/>
      <x:c r="I172" s="20"/>
      <x:c r="L172" s="26"/>
    </x:row>
    <x:row r="173">
      <x:c r="H173" s="26"/>
      <x:c r="I173" s="20"/>
      <x:c r="L173" s="26"/>
    </x:row>
    <x:row r="174">
      <x:c r="H174" s="26"/>
      <x:c r="I174" s="20"/>
      <x:c r="L174" s="26"/>
    </x:row>
    <x:row r="175">
      <x:c r="H175" s="26"/>
      <x:c r="I175" s="20"/>
      <x:c r="L175" s="26"/>
    </x:row>
    <x:row r="176">
      <x:c r="H176" s="26"/>
      <x:c r="I176" s="20"/>
      <x:c r="L176" s="26"/>
    </x:row>
    <x:row r="177">
      <x:c r="H177" s="26"/>
      <x:c r="I177" s="20"/>
      <x:c r="L177" s="26"/>
    </x:row>
    <x:row r="178">
      <x:c r="H178" s="26"/>
      <x:c r="I178" s="20"/>
      <x:c r="L178" s="26"/>
    </x:row>
    <x:row r="179">
      <x:c r="H179" s="26"/>
      <x:c r="I179" s="20"/>
      <x:c r="L179" s="26"/>
    </x:row>
    <x:row r="180">
      <x:c r="H180" s="26"/>
      <x:c r="I180" s="20"/>
      <x:c r="L180" s="26"/>
    </x:row>
    <x:row r="181">
      <x:c r="H181" s="26"/>
      <x:c r="I181" s="20"/>
      <x:c r="L181" s="26"/>
    </x:row>
    <x:row r="182">
      <x:c r="H182" s="26"/>
      <x:c r="I182" s="20"/>
      <x:c r="L182" s="26"/>
    </x:row>
    <x:row r="183">
      <x:c r="H183" s="26"/>
      <x:c r="I183" s="20"/>
      <x:c r="L183" s="26"/>
    </x:row>
    <x:row r="184">
      <x:c r="H184" s="26"/>
      <x:c r="I184" s="20"/>
      <x:c r="L184" s="26"/>
    </x:row>
    <x:row r="185">
      <x:c r="H185" s="26"/>
      <x:c r="I185" s="20"/>
      <x:c r="L185" s="26"/>
    </x:row>
    <x:row r="186">
      <x:c r="H186" s="26"/>
      <x:c r="I186" s="20"/>
      <x:c r="L186" s="26"/>
    </x:row>
    <x:row r="187">
      <x:c r="H187" s="26"/>
      <x:c r="I187" s="20"/>
      <x:c r="L187" s="26"/>
    </x:row>
    <x:row r="188">
      <x:c r="H188" s="26"/>
      <x:c r="I188" s="20"/>
      <x:c r="L188" s="26"/>
    </x:row>
    <x:row r="189">
      <x:c r="H189" s="26"/>
      <x:c r="I189" s="20"/>
      <x:c r="L189" s="26"/>
    </x:row>
    <x:row r="190">
      <x:c r="H190" s="26"/>
      <x:c r="I190" s="20"/>
      <x:c r="L190" s="26"/>
    </x:row>
    <x:row r="191">
      <x:c r="H191" s="26"/>
      <x:c r="I191" s="20"/>
      <x:c r="L191" s="26"/>
    </x:row>
    <x:row r="192">
      <x:c r="H192" s="26"/>
      <x:c r="I192" s="20"/>
      <x:c r="L192" s="26"/>
    </x:row>
    <x:row r="193">
      <x:c r="H193" s="26"/>
      <x:c r="I193" s="20"/>
      <x:c r="L193" s="26"/>
    </x:row>
    <x:row r="194">
      <x:c r="H194" s="26"/>
      <x:c r="I194" s="20"/>
      <x:c r="L194" s="26"/>
    </x:row>
    <x:row r="195">
      <x:c r="H195" s="26"/>
      <x:c r="I195" s="20"/>
      <x:c r="L195" s="26"/>
    </x:row>
    <x:row r="196">
      <x:c r="H196" s="26"/>
      <x:c r="I196" s="20"/>
      <x:c r="L196" s="26"/>
    </x:row>
    <x:row r="197">
      <x:c r="H197" s="26"/>
      <x:c r="I197" s="20"/>
      <x:c r="L197" s="26"/>
    </x:row>
    <x:row r="198">
      <x:c r="H198" s="26"/>
      <x:c r="I198" s="20"/>
      <x:c r="L198" s="26"/>
    </x:row>
    <x:row r="199">
      <x:c r="H199" s="26"/>
      <x:c r="I199" s="20"/>
      <x:c r="L199" s="26"/>
    </x:row>
    <x:row r="200">
      <x:c r="H200" s="26"/>
      <x:c r="I200" s="20"/>
      <x:c r="L200" s="26"/>
    </x:row>
  </x:sheetData>
  <x:mergeCells>
    <x:mergeCell ref="A1:M1"/>
  </x:mergeCells>
  <x:conditionalFormatting sqref="G4:G200">
    <x:cfRule type="expression" dxfId="3" priority="1">
      <x:formula>G4="Completed"</x:formula>
    </x:cfRule>
    <x:cfRule type="expression" dxfId="4" priority="2">
      <x:formula>G4="Blocked"</x:formula>
    </x:cfRule>
  </x:conditionalFormatting>
  <x:dataValidations count="3">
    <x:dataValidation type="list" sqref="E4:E200">
      <x:formula1>Dropdowns!$B$2:$B$5</x:formula1>
    </x:dataValidation>
    <x:dataValidation type="list" sqref="F4:F200">
      <x:formula1>Dropdowns!$C$2:$C$6</x:formula1>
    </x:dataValidation>
    <x:dataValidation type="list" sqref="G4:G200">
      <x:formula1>Dropdowns!$A$2:$A$7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59bff94fcb461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48" t="str">
        <x:v>Status</x:v>
      </x:c>
      <x:c r="B1" s="48" t="str">
        <x:v>Priority</x:v>
      </x:c>
      <x:c r="C1" s="48" t="str">
        <x:v>Risk</x:v>
      </x:c>
      <x:c r="D1" s="48" t="str">
        <x:v>Environment</x:v>
      </x:c>
      <x:c r="E1" s="48" t="str">
        <x:v>Decision</x:v>
      </x:c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</x:row>
    <x:row r="2">
      <x:c r="A2" t="str">
        <x:v>Not Started</x:v>
      </x:c>
      <x:c r="B2" t="str">
        <x:v>High</x:v>
      </x:c>
      <x:c r="C2" t="str">
        <x:v>Low</x:v>
      </x:c>
      <x:c r="D2" t="str">
        <x:v>Prod</x:v>
      </x:c>
      <x:c r="E2" t="str">
        <x:v>Approve</x:v>
      </x:c>
    </x:row>
    <x:row r="3" ht="32" customHeight="1">
      <x:c r="A3" t="str">
        <x:v>In Progress</x:v>
      </x:c>
      <x:c r="B3" t="str">
        <x:v>Medium</x:v>
      </x:c>
      <x:c r="C3" t="str">
        <x:v>Medium</x:v>
      </x:c>
      <x:c r="D3" t="str">
        <x:v>Non-Prod</x:v>
      </x:c>
      <x:c r="E3" t="str">
        <x:v>Reject</x:v>
      </x:c>
    </x:row>
    <x:row r="4">
      <x:c r="A4" t="str">
        <x:v>Pending DBA</x:v>
      </x:c>
      <x:c r="B4" t="str">
        <x:v>Low</x:v>
      </x:c>
      <x:c r="C4" t="str">
        <x:v>High</x:v>
      </x:c>
      <x:c r="D4" t="str">
        <x:v>Dev</x:v>
      </x:c>
      <x:c r="E4" t="str">
        <x:v>Need More Data</x:v>
      </x:c>
    </x:row>
    <x:row r="5">
      <x:c r="A5" t="str">
        <x:v>Pending App Team</x:v>
      </x:c>
      <x:c r="B5" t="str">
        <x:v>TBD</x:v>
      </x:c>
      <x:c r="C5" t="str">
        <x:v>Critical</x:v>
      </x:c>
      <x:c r="D5" t="str">
        <x:v>QA</x:v>
      </x:c>
      <x:c r="E5" t="str">
        <x:v>Hold</x:v>
      </x:c>
    </x:row>
    <x:row r="6">
      <x:c r="A6" t="str">
        <x:v>Completed</x:v>
      </x:c>
      <x:c r="C6" t="str">
        <x:v>TBD</x:v>
      </x:c>
      <x:c r="D6" t="str">
        <x:v>Stage</x:v>
      </x:c>
      <x:c r="E6" t="str">
        <x:v>Decommission</x:v>
      </x:c>
    </x:row>
    <x:row r="7">
      <x:c r="A7" t="str">
        <x:v>Blocked</x:v>
      </x:c>
      <x:c r="D7" t="str">
        <x:v>Sandbox</x:v>
      </x:c>
      <x:c r="E7" t="str">
        <x:v>TBD</x:v>
      </x:c>
    </x:row>
  </x:sheetData>
  <x:pageMargins left="0.7" right="0.7" top="0.75" bottom="0.75" header="0.3" footer="0.3"/>
</x:worksheet>
</file>